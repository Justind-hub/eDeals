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b3ca9b0ae93607b4/Desktop/Python/projects/eDeals/"/>
    </mc:Choice>
  </mc:AlternateContent>
  <xr:revisionPtr revIDLastSave="179" documentId="8_{2E8EA9B3-9D79-4F1C-9770-5937069BEA32}" xr6:coauthVersionLast="47" xr6:coauthVersionMax="47" xr10:uidLastSave="{6E964D56-D782-49B3-9E26-2D9B5D5FA5B2}"/>
  <bookViews>
    <workbookView xWindow="3825" yWindow="6450" windowWidth="30135" windowHeight="18840" activeTab="1" xr2:uid="{8F4DD1F8-308C-4C6B-907A-83070892C3C6}"/>
  </bookViews>
  <sheets>
    <sheet name="Buttons" sheetId="7" r:id="rId1"/>
    <sheet name="Pivot" sheetId="3" r:id="rId2"/>
    <sheet name="Unique Offer Titles" sheetId="5" r:id="rId3"/>
    <sheet name="data" sheetId="2" r:id="rId4"/>
    <sheet name="Reference" sheetId="1" state="hidden" r:id="rId5"/>
    <sheet name="gdd" sheetId="4" state="hidden" r:id="rId6"/>
  </sheets>
  <definedNames>
    <definedName name="ExternalData_1" localSheetId="3" hidden="1">data!$A$1:$G$414</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5" l="1" a="1"/>
  <c r="C59" i="5" s="1"/>
  <c r="D59" i="5" a="1"/>
  <c r="D59" i="5" s="1"/>
  <c r="E59" i="5" a="1"/>
  <c r="E59" i="5" s="1"/>
  <c r="C60" i="5" a="1"/>
  <c r="C60" i="5" s="1"/>
  <c r="D60" i="5" a="1"/>
  <c r="D60" i="5" s="1"/>
  <c r="E60" i="5" a="1"/>
  <c r="E60" i="5" s="1"/>
  <c r="C61" i="5" a="1"/>
  <c r="C61" i="5" s="1"/>
  <c r="D61" i="5" a="1"/>
  <c r="D61" i="5"/>
  <c r="E61" i="5" a="1"/>
  <c r="E61" i="5" s="1"/>
  <c r="C62" i="5" a="1"/>
  <c r="C62" i="5" s="1"/>
  <c r="D62" i="5" a="1"/>
  <c r="D62" i="5" s="1"/>
  <c r="E62" i="5" a="1"/>
  <c r="E62" i="5" s="1"/>
  <c r="C63" i="5" a="1"/>
  <c r="C63" i="5" s="1"/>
  <c r="D63" i="5" a="1"/>
  <c r="D63" i="5" s="1"/>
  <c r="E63" i="5" a="1"/>
  <c r="E63" i="5" s="1"/>
  <c r="C64" i="5" a="1"/>
  <c r="C64" i="5" s="1"/>
  <c r="D64" i="5" a="1"/>
  <c r="D64" i="5" s="1"/>
  <c r="E64" i="5" a="1"/>
  <c r="E64" i="5" s="1"/>
  <c r="C65" i="5" a="1"/>
  <c r="C65" i="5" s="1"/>
  <c r="D65" i="5" a="1"/>
  <c r="D65" i="5" s="1"/>
  <c r="E65" i="5" a="1"/>
  <c r="E65" i="5" s="1"/>
  <c r="C66" i="5" a="1"/>
  <c r="C66" i="5" s="1"/>
  <c r="D66" i="5" a="1"/>
  <c r="D66" i="5" s="1"/>
  <c r="E66" i="5" a="1"/>
  <c r="E66" i="5" s="1"/>
  <c r="C67" i="5" a="1"/>
  <c r="C67" i="5" s="1"/>
  <c r="D67" i="5" a="1"/>
  <c r="D67" i="5" s="1"/>
  <c r="E67" i="5" a="1"/>
  <c r="E67" i="5" s="1"/>
  <c r="C68" i="5" a="1"/>
  <c r="C68" i="5" s="1"/>
  <c r="D68" i="5" a="1"/>
  <c r="D68" i="5" s="1"/>
  <c r="E68" i="5" a="1"/>
  <c r="E68" i="5" s="1"/>
  <c r="C69" i="5" a="1"/>
  <c r="C69" i="5" s="1"/>
  <c r="D69" i="5" a="1"/>
  <c r="D69" i="5" s="1"/>
  <c r="E69" i="5" a="1"/>
  <c r="E69" i="5" s="1"/>
  <c r="C70" i="5" a="1"/>
  <c r="C70" i="5" s="1"/>
  <c r="D70" i="5" a="1"/>
  <c r="D70" i="5" s="1"/>
  <c r="E70" i="5" a="1"/>
  <c r="E70" i="5" s="1"/>
  <c r="C71" i="5" a="1"/>
  <c r="C71" i="5" s="1"/>
  <c r="D71" i="5" a="1"/>
  <c r="D71" i="5" s="1"/>
  <c r="E71" i="5" a="1"/>
  <c r="E71" i="5" s="1"/>
  <c r="C72" i="5" a="1"/>
  <c r="C72" i="5" s="1"/>
  <c r="D72" i="5" a="1"/>
  <c r="D72" i="5"/>
  <c r="E72" i="5" a="1"/>
  <c r="E72" i="5" s="1"/>
  <c r="C73" i="5" a="1"/>
  <c r="C73" i="5" s="1"/>
  <c r="D73" i="5" a="1"/>
  <c r="D73" i="5" s="1"/>
  <c r="E73" i="5" a="1"/>
  <c r="E73" i="5" s="1"/>
  <c r="C74" i="5" a="1"/>
  <c r="C74" i="5" s="1"/>
  <c r="D74" i="5" a="1"/>
  <c r="D74" i="5" s="1"/>
  <c r="E74" i="5" a="1"/>
  <c r="E74" i="5" s="1"/>
  <c r="C75" i="5" a="1"/>
  <c r="C75" i="5" s="1"/>
  <c r="D75" i="5" a="1"/>
  <c r="D75" i="5" s="1"/>
  <c r="E75" i="5" a="1"/>
  <c r="E75" i="5" s="1"/>
  <c r="C76" i="5" a="1"/>
  <c r="C76" i="5" s="1"/>
  <c r="D76" i="5" a="1"/>
  <c r="D76" i="5"/>
  <c r="E76" i="5" a="1"/>
  <c r="E76" i="5" s="1"/>
  <c r="C77" i="5" a="1"/>
  <c r="C77" i="5"/>
  <c r="D77" i="5" a="1"/>
  <c r="D77" i="5" s="1"/>
  <c r="E77" i="5" a="1"/>
  <c r="E77" i="5" s="1"/>
  <c r="C78" i="5" a="1"/>
  <c r="C78" i="5" s="1"/>
  <c r="D78" i="5" a="1"/>
  <c r="D78" i="5" s="1"/>
  <c r="E78" i="5" a="1"/>
  <c r="E78" i="5" s="1"/>
  <c r="C79" i="5" a="1"/>
  <c r="C79" i="5" s="1"/>
  <c r="D79" i="5" a="1"/>
  <c r="D79" i="5" s="1"/>
  <c r="E79" i="5" a="1"/>
  <c r="E79" i="5" s="1"/>
  <c r="C80" i="5" a="1"/>
  <c r="C80" i="5" s="1"/>
  <c r="D80" i="5" a="1"/>
  <c r="D80" i="5" s="1"/>
  <c r="E80" i="5" a="1"/>
  <c r="E80" i="5" s="1"/>
  <c r="C81" i="5" a="1"/>
  <c r="C81" i="5" s="1"/>
  <c r="D81" i="5" a="1"/>
  <c r="D81" i="5" s="1"/>
  <c r="E81" i="5" a="1"/>
  <c r="E81" i="5" s="1"/>
  <c r="C82" i="5" a="1"/>
  <c r="C82" i="5" s="1"/>
  <c r="D82" i="5" a="1"/>
  <c r="D82" i="5" s="1"/>
  <c r="E82" i="5" a="1"/>
  <c r="E82" i="5" s="1"/>
  <c r="C83" i="5" a="1"/>
  <c r="C83" i="5"/>
  <c r="D83" i="5" a="1"/>
  <c r="D83" i="5" s="1"/>
  <c r="E83" i="5" a="1"/>
  <c r="E83" i="5" s="1"/>
  <c r="C84" i="5" a="1"/>
  <c r="C84" i="5" s="1"/>
  <c r="D84" i="5" a="1"/>
  <c r="D84" i="5" s="1"/>
  <c r="E84" i="5" a="1"/>
  <c r="E84" i="5" s="1"/>
  <c r="C85" i="5" a="1"/>
  <c r="C85" i="5" s="1"/>
  <c r="D85" i="5" a="1"/>
  <c r="D85" i="5"/>
  <c r="E85" i="5" a="1"/>
  <c r="E85" i="5" s="1"/>
  <c r="C86" i="5" a="1"/>
  <c r="C86" i="5" s="1"/>
  <c r="D86" i="5" a="1"/>
  <c r="D86" i="5" s="1"/>
  <c r="E86" i="5" a="1"/>
  <c r="E86" i="5" s="1"/>
  <c r="C87" i="5" a="1"/>
  <c r="C87" i="5" s="1"/>
  <c r="D87" i="5" a="1"/>
  <c r="D87" i="5" s="1"/>
  <c r="E87" i="5" a="1"/>
  <c r="E87" i="5" s="1"/>
  <c r="C88" i="5" a="1"/>
  <c r="C88" i="5" s="1"/>
  <c r="D88" i="5" a="1"/>
  <c r="D88" i="5" s="1"/>
  <c r="E88" i="5" a="1"/>
  <c r="E88" i="5" s="1"/>
  <c r="C89" i="5" a="1"/>
  <c r="C89" i="5" s="1"/>
  <c r="D89" i="5" a="1"/>
  <c r="D89" i="5" s="1"/>
  <c r="E89" i="5" a="1"/>
  <c r="E89" i="5" s="1"/>
  <c r="C90" i="5" a="1"/>
  <c r="C90" i="5" s="1"/>
  <c r="D90" i="5" a="1"/>
  <c r="D90" i="5" s="1"/>
  <c r="E90" i="5" a="1"/>
  <c r="E90" i="5" s="1"/>
  <c r="C91" i="5" a="1"/>
  <c r="C91" i="5" s="1"/>
  <c r="D91" i="5" a="1"/>
  <c r="D91" i="5" s="1"/>
  <c r="E91" i="5" a="1"/>
  <c r="E91" i="5" s="1"/>
  <c r="C92" i="5" a="1"/>
  <c r="C92" i="5" s="1"/>
  <c r="D92" i="5" a="1"/>
  <c r="D92" i="5" s="1"/>
  <c r="E92" i="5" a="1"/>
  <c r="E92" i="5" s="1"/>
  <c r="C93" i="5" a="1"/>
  <c r="C93" i="5"/>
  <c r="D93" i="5" a="1"/>
  <c r="D93" i="5"/>
  <c r="E93" i="5" a="1"/>
  <c r="E93" i="5" s="1"/>
  <c r="C94" i="5" a="1"/>
  <c r="C94" i="5" s="1"/>
  <c r="D94" i="5" a="1"/>
  <c r="D94" i="5" s="1"/>
  <c r="E94" i="5" a="1"/>
  <c r="E94" i="5" s="1"/>
  <c r="C95" i="5" a="1"/>
  <c r="C95" i="5" s="1"/>
  <c r="D95" i="5" a="1"/>
  <c r="D95" i="5" s="1"/>
  <c r="E95" i="5" a="1"/>
  <c r="E95" i="5" s="1"/>
  <c r="C96" i="5" a="1"/>
  <c r="C96" i="5" s="1"/>
  <c r="D96" i="5" a="1"/>
  <c r="D96" i="5" s="1"/>
  <c r="E96" i="5" a="1"/>
  <c r="E96" i="5"/>
  <c r="C97" i="5" a="1"/>
  <c r="C97" i="5" s="1"/>
  <c r="D97" i="5" a="1"/>
  <c r="D97" i="5" s="1"/>
  <c r="E97" i="5" a="1"/>
  <c r="E97" i="5" s="1"/>
  <c r="C98" i="5" a="1"/>
  <c r="C98" i="5" s="1"/>
  <c r="D98" i="5" a="1"/>
  <c r="D98" i="5"/>
  <c r="E98" i="5" a="1"/>
  <c r="E98" i="5" s="1"/>
  <c r="C99" i="5" a="1"/>
  <c r="C99" i="5" s="1"/>
  <c r="D99" i="5" a="1"/>
  <c r="D99" i="5" s="1"/>
  <c r="E99" i="5" a="1"/>
  <c r="E99" i="5" s="1"/>
  <c r="C100" i="5" a="1"/>
  <c r="C100" i="5" s="1"/>
  <c r="D100" i="5" a="1"/>
  <c r="D100" i="5"/>
  <c r="E100" i="5" a="1"/>
  <c r="E100" i="5"/>
  <c r="C101" i="5" a="1"/>
  <c r="C101" i="5"/>
  <c r="D101" i="5" a="1"/>
  <c r="D101" i="5" s="1"/>
  <c r="E101" i="5" a="1"/>
  <c r="E101" i="5" s="1"/>
  <c r="C102" i="5" a="1"/>
  <c r="C102" i="5" s="1"/>
  <c r="D102" i="5" a="1"/>
  <c r="D102" i="5" s="1"/>
  <c r="E102" i="5" a="1"/>
  <c r="E102" i="5" s="1"/>
  <c r="C103" i="5" a="1"/>
  <c r="C103" i="5"/>
  <c r="D103" i="5" a="1"/>
  <c r="D103" i="5" s="1"/>
  <c r="E103" i="5" a="1"/>
  <c r="E103" i="5" s="1"/>
  <c r="C104" i="5" a="1"/>
  <c r="C104" i="5" s="1"/>
  <c r="D104" i="5" a="1"/>
  <c r="D104" i="5" s="1"/>
  <c r="E104" i="5" a="1"/>
  <c r="E104" i="5" s="1"/>
  <c r="C105" i="5" a="1"/>
  <c r="C105" i="5" s="1"/>
  <c r="D105" i="5" a="1"/>
  <c r="D105" i="5" s="1"/>
  <c r="E105" i="5" a="1"/>
  <c r="E105" i="5" s="1"/>
  <c r="C106" i="5" a="1"/>
  <c r="C106" i="5" s="1"/>
  <c r="D106" i="5" a="1"/>
  <c r="D106" i="5" s="1"/>
  <c r="E106" i="5" a="1"/>
  <c r="E106" i="5" s="1"/>
  <c r="C107" i="5" a="1"/>
  <c r="C107" i="5" s="1"/>
  <c r="D107" i="5" a="1"/>
  <c r="D107" i="5"/>
  <c r="E107" i="5" a="1"/>
  <c r="E107" i="5" s="1"/>
  <c r="C108" i="5" a="1"/>
  <c r="C108" i="5" s="1"/>
  <c r="D108" i="5" a="1"/>
  <c r="D108" i="5" s="1"/>
  <c r="E108" i="5" a="1"/>
  <c r="E108" i="5" s="1"/>
  <c r="C109" i="5" a="1"/>
  <c r="C109" i="5"/>
  <c r="D109" i="5" a="1"/>
  <c r="D109" i="5" s="1"/>
  <c r="E109" i="5" a="1"/>
  <c r="E109" i="5" s="1"/>
  <c r="C110" i="5" a="1"/>
  <c r="C110" i="5" s="1"/>
  <c r="D110" i="5" a="1"/>
  <c r="D110" i="5" s="1"/>
  <c r="E110" i="5" a="1"/>
  <c r="E110" i="5" s="1"/>
  <c r="C111" i="5" a="1"/>
  <c r="C111" i="5" s="1"/>
  <c r="D111" i="5" a="1"/>
  <c r="D111" i="5" s="1"/>
  <c r="E111" i="5" a="1"/>
  <c r="E111" i="5" s="1"/>
  <c r="C112" i="5" a="1"/>
  <c r="C112" i="5" s="1"/>
  <c r="D112" i="5" a="1"/>
  <c r="D112" i="5" s="1"/>
  <c r="E112" i="5" a="1"/>
  <c r="E112" i="5" s="1"/>
  <c r="C113" i="5" a="1"/>
  <c r="C113" i="5" s="1"/>
  <c r="D113" i="5" a="1"/>
  <c r="D113" i="5" s="1"/>
  <c r="E113" i="5" a="1"/>
  <c r="E113" i="5" s="1"/>
  <c r="C114" i="5" a="1"/>
  <c r="C114" i="5" s="1"/>
  <c r="D114" i="5" a="1"/>
  <c r="D114" i="5"/>
  <c r="E114" i="5" a="1"/>
  <c r="E114" i="5" s="1"/>
  <c r="C115" i="5" a="1"/>
  <c r="C115" i="5" s="1"/>
  <c r="D115" i="5" a="1"/>
  <c r="D115" i="5" s="1"/>
  <c r="E115" i="5" a="1"/>
  <c r="E115" i="5" s="1"/>
  <c r="C116" i="5" a="1"/>
  <c r="C116" i="5" s="1"/>
  <c r="D116" i="5" a="1"/>
  <c r="D116" i="5" s="1"/>
  <c r="E116" i="5" a="1"/>
  <c r="E116" i="5" s="1"/>
  <c r="C117" i="5" a="1"/>
  <c r="C117" i="5"/>
  <c r="D117" i="5" a="1"/>
  <c r="D117" i="5" s="1"/>
  <c r="E117" i="5" a="1"/>
  <c r="E117" i="5" s="1"/>
  <c r="C118" i="5" a="1"/>
  <c r="C118" i="5" s="1"/>
  <c r="D118" i="5" a="1"/>
  <c r="D118" i="5" s="1"/>
  <c r="E118" i="5" a="1"/>
  <c r="E118" i="5" s="1"/>
  <c r="C119" i="5" a="1"/>
  <c r="C119" i="5" s="1"/>
  <c r="D119" i="5" a="1"/>
  <c r="D119" i="5" s="1"/>
  <c r="E119" i="5" a="1"/>
  <c r="E119" i="5" s="1"/>
  <c r="C120" i="5" a="1"/>
  <c r="C120" i="5" s="1"/>
  <c r="D120" i="5" a="1"/>
  <c r="D120" i="5"/>
  <c r="E120" i="5" a="1"/>
  <c r="E120" i="5" s="1"/>
  <c r="C121" i="5" a="1"/>
  <c r="C121" i="5" s="1"/>
  <c r="D121" i="5" a="1"/>
  <c r="D121" i="5" s="1"/>
  <c r="E121" i="5" a="1"/>
  <c r="E121" i="5" s="1"/>
  <c r="C122" i="5" a="1"/>
  <c r="C122" i="5" s="1"/>
  <c r="D122" i="5" a="1"/>
  <c r="D122" i="5" s="1"/>
  <c r="E122" i="5" a="1"/>
  <c r="E122" i="5" s="1"/>
  <c r="C123" i="5" a="1"/>
  <c r="C123" i="5" s="1"/>
  <c r="D123" i="5" a="1"/>
  <c r="D123" i="5" s="1"/>
  <c r="E123" i="5" a="1"/>
  <c r="E123" i="5" s="1"/>
  <c r="C124" i="5" a="1"/>
  <c r="C124" i="5" s="1"/>
  <c r="D124" i="5" a="1"/>
  <c r="D124" i="5" s="1"/>
  <c r="E124" i="5" a="1"/>
  <c r="E124" i="5" s="1"/>
  <c r="C125" i="5" a="1"/>
  <c r="C125" i="5" s="1"/>
  <c r="D125" i="5" a="1"/>
  <c r="D125" i="5" s="1"/>
  <c r="E125" i="5" a="1"/>
  <c r="E125" i="5" s="1"/>
  <c r="C126" i="5" a="1"/>
  <c r="C126" i="5" s="1"/>
  <c r="D126" i="5" a="1"/>
  <c r="D126" i="5" s="1"/>
  <c r="E126" i="5" a="1"/>
  <c r="E126" i="5" s="1"/>
  <c r="C127" i="5" a="1"/>
  <c r="C127" i="5" s="1"/>
  <c r="D127" i="5" a="1"/>
  <c r="D127" i="5" s="1"/>
  <c r="E127" i="5" a="1"/>
  <c r="E127" i="5" s="1"/>
  <c r="C128" i="5" a="1"/>
  <c r="C128" i="5"/>
  <c r="D128" i="5" a="1"/>
  <c r="D128" i="5" s="1"/>
  <c r="E128" i="5" a="1"/>
  <c r="E128" i="5" s="1"/>
  <c r="C129" i="5" a="1"/>
  <c r="C129" i="5" s="1"/>
  <c r="D129" i="5" a="1"/>
  <c r="D129" i="5" s="1"/>
  <c r="E129" i="5" a="1"/>
  <c r="E129" i="5" s="1"/>
  <c r="C130" i="5" a="1"/>
  <c r="C130" i="5" s="1"/>
  <c r="D130" i="5" a="1"/>
  <c r="D130" i="5" s="1"/>
  <c r="E130" i="5" a="1"/>
  <c r="E130" i="5" s="1"/>
  <c r="C131" i="5" a="1"/>
  <c r="C131" i="5"/>
  <c r="D131" i="5" a="1"/>
  <c r="D131" i="5" s="1"/>
  <c r="E131" i="5" a="1"/>
  <c r="E131" i="5" s="1"/>
  <c r="C132" i="5" a="1"/>
  <c r="C132" i="5" s="1"/>
  <c r="D132" i="5" a="1"/>
  <c r="D132" i="5" s="1"/>
  <c r="E132" i="5" a="1"/>
  <c r="E132" i="5"/>
  <c r="C133" i="5" a="1"/>
  <c r="C133" i="5" s="1"/>
  <c r="D133" i="5" a="1"/>
  <c r="D133" i="5" s="1"/>
  <c r="E133" i="5" a="1"/>
  <c r="E133" i="5" s="1"/>
  <c r="C134" i="5" a="1"/>
  <c r="C134" i="5" s="1"/>
  <c r="D134" i="5" a="1"/>
  <c r="D134" i="5" s="1"/>
  <c r="E134" i="5" a="1"/>
  <c r="E134" i="5" s="1"/>
  <c r="C135" i="5" a="1"/>
  <c r="C135" i="5" s="1"/>
  <c r="D135" i="5" a="1"/>
  <c r="D135" i="5" s="1"/>
  <c r="E135" i="5" a="1"/>
  <c r="E135" i="5" s="1"/>
  <c r="C136" i="5" a="1"/>
  <c r="C136" i="5" s="1"/>
  <c r="D136" i="5" a="1"/>
  <c r="D136" i="5" s="1"/>
  <c r="E136" i="5" a="1"/>
  <c r="E136" i="5" s="1"/>
  <c r="C137" i="5" a="1"/>
  <c r="C137" i="5" s="1"/>
  <c r="D137" i="5" a="1"/>
  <c r="D137" i="5" s="1"/>
  <c r="E137" i="5" a="1"/>
  <c r="E137" i="5" s="1"/>
  <c r="C138" i="5" a="1"/>
  <c r="C138" i="5" s="1"/>
  <c r="D138" i="5" a="1"/>
  <c r="D138" i="5" s="1"/>
  <c r="E138" i="5" a="1"/>
  <c r="E138" i="5" s="1"/>
  <c r="C139" i="5" a="1"/>
  <c r="C139" i="5" s="1"/>
  <c r="D139" i="5" a="1"/>
  <c r="D139" i="5" s="1"/>
  <c r="E139" i="5" a="1"/>
  <c r="E139" i="5" s="1"/>
  <c r="C140" i="5" a="1"/>
  <c r="C140" i="5" s="1"/>
  <c r="D140" i="5" a="1"/>
  <c r="D140" i="5"/>
  <c r="E140" i="5" a="1"/>
  <c r="E140" i="5" s="1"/>
  <c r="C141" i="5" a="1"/>
  <c r="C141" i="5" s="1"/>
  <c r="D141" i="5" a="1"/>
  <c r="D141" i="5" s="1"/>
  <c r="E141" i="5" a="1"/>
  <c r="E141" i="5" s="1"/>
  <c r="C142" i="5" a="1"/>
  <c r="C142" i="5" s="1"/>
  <c r="D142" i="5" a="1"/>
  <c r="D142" i="5" s="1"/>
  <c r="E142" i="5" a="1"/>
  <c r="E142" i="5" s="1"/>
  <c r="C143" i="5" a="1"/>
  <c r="C143" i="5" s="1"/>
  <c r="D143" i="5" a="1"/>
  <c r="D143" i="5" s="1"/>
  <c r="E143" i="5" a="1"/>
  <c r="E143" i="5" s="1"/>
  <c r="C144" i="5" a="1"/>
  <c r="C144" i="5" s="1"/>
  <c r="D144" i="5" a="1"/>
  <c r="D144" i="5" s="1"/>
  <c r="E144" i="5" a="1"/>
  <c r="E144" i="5" s="1"/>
  <c r="C145" i="5" a="1"/>
  <c r="C145" i="5" s="1"/>
  <c r="D145" i="5" a="1"/>
  <c r="D145" i="5" s="1"/>
  <c r="E145" i="5" a="1"/>
  <c r="E145" i="5" s="1"/>
  <c r="C146" i="5" a="1"/>
  <c r="C146" i="5" s="1"/>
  <c r="D146" i="5" a="1"/>
  <c r="D146" i="5" s="1"/>
  <c r="E146" i="5" a="1"/>
  <c r="E146" i="5" s="1"/>
  <c r="C35" i="5" a="1"/>
  <c r="C35" i="5" s="1"/>
  <c r="D35" i="5" a="1"/>
  <c r="D35" i="5" s="1"/>
  <c r="E35" i="5" a="1"/>
  <c r="E35" i="5" s="1"/>
  <c r="C36" i="5" a="1"/>
  <c r="C36" i="5" s="1"/>
  <c r="D36" i="5" a="1"/>
  <c r="D36" i="5"/>
  <c r="E36" i="5" a="1"/>
  <c r="E36" i="5" s="1"/>
  <c r="C37" i="5" a="1"/>
  <c r="C37" i="5" s="1"/>
  <c r="D37" i="5" a="1"/>
  <c r="D37" i="5" s="1"/>
  <c r="E37" i="5" a="1"/>
  <c r="E37" i="5"/>
  <c r="C38" i="5" a="1"/>
  <c r="C38" i="5" s="1"/>
  <c r="D38" i="5" a="1"/>
  <c r="D38" i="5" s="1"/>
  <c r="E38" i="5" a="1"/>
  <c r="E38" i="5" s="1"/>
  <c r="C39" i="5" a="1"/>
  <c r="C39" i="5" s="1"/>
  <c r="D39" i="5" a="1"/>
  <c r="D39" i="5" s="1"/>
  <c r="E39" i="5" a="1"/>
  <c r="E39" i="5" s="1"/>
  <c r="C40" i="5" a="1"/>
  <c r="C40" i="5" s="1"/>
  <c r="D40" i="5" a="1"/>
  <c r="D40" i="5" s="1"/>
  <c r="E40" i="5" a="1"/>
  <c r="E40" i="5" s="1"/>
  <c r="C41" i="5" a="1"/>
  <c r="C41" i="5" s="1"/>
  <c r="D41" i="5" a="1"/>
  <c r="D41" i="5" s="1"/>
  <c r="E41" i="5" a="1"/>
  <c r="E41" i="5" s="1"/>
  <c r="C42" i="5" a="1"/>
  <c r="C42" i="5" s="1"/>
  <c r="D42" i="5" a="1"/>
  <c r="D42" i="5" s="1"/>
  <c r="E42" i="5" a="1"/>
  <c r="E42" i="5" s="1"/>
  <c r="C43" i="5" a="1"/>
  <c r="C43" i="5" s="1"/>
  <c r="D43" i="5" a="1"/>
  <c r="D43" i="5" s="1"/>
  <c r="E43" i="5" a="1"/>
  <c r="E43" i="5" s="1"/>
  <c r="C44" i="5" a="1"/>
  <c r="C44" i="5" s="1"/>
  <c r="D44" i="5" a="1"/>
  <c r="D44" i="5" s="1"/>
  <c r="E44" i="5" a="1"/>
  <c r="E44" i="5" s="1"/>
  <c r="C45" i="5" a="1"/>
  <c r="C45" i="5" s="1"/>
  <c r="D45" i="5" a="1"/>
  <c r="D45" i="5" s="1"/>
  <c r="E45" i="5" a="1"/>
  <c r="E45" i="5" s="1"/>
  <c r="C46" i="5" a="1"/>
  <c r="C46" i="5" s="1"/>
  <c r="D46" i="5" a="1"/>
  <c r="D46" i="5" s="1"/>
  <c r="E46" i="5" a="1"/>
  <c r="E46" i="5" s="1"/>
  <c r="C47" i="5" a="1"/>
  <c r="C47" i="5" s="1"/>
  <c r="D47" i="5" a="1"/>
  <c r="D47" i="5" s="1"/>
  <c r="E47" i="5" a="1"/>
  <c r="E47" i="5" s="1"/>
  <c r="C48" i="5" a="1"/>
  <c r="C48" i="5" s="1"/>
  <c r="D48" i="5" a="1"/>
  <c r="D48" i="5"/>
  <c r="E48" i="5" a="1"/>
  <c r="E48" i="5" s="1"/>
  <c r="C49" i="5" a="1"/>
  <c r="C49" i="5" s="1"/>
  <c r="D49" i="5" a="1"/>
  <c r="D49" i="5" s="1"/>
  <c r="E49" i="5" a="1"/>
  <c r="E49" i="5" s="1"/>
  <c r="C50" i="5" a="1"/>
  <c r="C50" i="5" s="1"/>
  <c r="D50" i="5" a="1"/>
  <c r="D50" i="5"/>
  <c r="E50" i="5" a="1"/>
  <c r="E50" i="5" s="1"/>
  <c r="C51" i="5" a="1"/>
  <c r="C51" i="5" s="1"/>
  <c r="D51" i="5" a="1"/>
  <c r="D51" i="5" s="1"/>
  <c r="E51" i="5" a="1"/>
  <c r="E51" i="5" s="1"/>
  <c r="C52" i="5" a="1"/>
  <c r="C52" i="5" s="1"/>
  <c r="D52" i="5" a="1"/>
  <c r="D52" i="5" s="1"/>
  <c r="E52" i="5" a="1"/>
  <c r="E52" i="5" s="1"/>
  <c r="C53" i="5" a="1"/>
  <c r="C53" i="5" s="1"/>
  <c r="D53" i="5" a="1"/>
  <c r="D53" i="5" s="1"/>
  <c r="E53" i="5" a="1"/>
  <c r="E53" i="5" s="1"/>
  <c r="C54" i="5" a="1"/>
  <c r="C54" i="5" s="1"/>
  <c r="D54" i="5" a="1"/>
  <c r="D54" i="5" s="1"/>
  <c r="E54" i="5" a="1"/>
  <c r="E54" i="5"/>
  <c r="C55" i="5" a="1"/>
  <c r="C55" i="5" s="1"/>
  <c r="D55" i="5" a="1"/>
  <c r="D55" i="5" s="1"/>
  <c r="E55" i="5" a="1"/>
  <c r="E55" i="5" s="1"/>
  <c r="C56" i="5" a="1"/>
  <c r="C56" i="5" s="1"/>
  <c r="D56" i="5" a="1"/>
  <c r="D56" i="5" s="1"/>
  <c r="E56" i="5" a="1"/>
  <c r="E56" i="5" s="1"/>
  <c r="C57" i="5" a="1"/>
  <c r="C57" i="5" s="1"/>
  <c r="D57" i="5" a="1"/>
  <c r="D57" i="5" s="1"/>
  <c r="E57" i="5" a="1"/>
  <c r="E57" i="5" s="1"/>
  <c r="C58" i="5" a="1"/>
  <c r="C58" i="5" s="1"/>
  <c r="D58" i="5" a="1"/>
  <c r="D58" i="5" s="1"/>
  <c r="E58" i="5" a="1"/>
  <c r="E58" i="5" s="1"/>
  <c r="D29" i="5" a="1"/>
  <c r="D29" i="5" s="1"/>
  <c r="D30" i="5" a="1"/>
  <c r="D30" i="5" s="1"/>
  <c r="D31" i="5" a="1"/>
  <c r="D31" i="5" s="1"/>
  <c r="D32" i="5" a="1"/>
  <c r="D32" i="5" s="1"/>
  <c r="D33" i="5" a="1"/>
  <c r="D33" i="5" s="1"/>
  <c r="D34" i="5" a="1"/>
  <c r="D34" i="5" s="1"/>
  <c r="E29" i="5" a="1"/>
  <c r="E29" i="5" s="1"/>
  <c r="E30" i="5" a="1"/>
  <c r="E30" i="5" s="1"/>
  <c r="E31" i="5" a="1"/>
  <c r="E31" i="5" s="1"/>
  <c r="E32" i="5" a="1"/>
  <c r="E32" i="5" s="1"/>
  <c r="E33" i="5" a="1"/>
  <c r="E33" i="5" s="1"/>
  <c r="E34" i="5" a="1"/>
  <c r="E34" i="5" s="1"/>
  <c r="C29" i="5" a="1"/>
  <c r="C29" i="5" s="1"/>
  <c r="C30" i="5" a="1"/>
  <c r="C30" i="5" s="1"/>
  <c r="C31" i="5" a="1"/>
  <c r="C31" i="5" s="1"/>
  <c r="C32" i="5" a="1"/>
  <c r="C32" i="5"/>
  <c r="C33" i="5" a="1"/>
  <c r="C33" i="5" s="1"/>
  <c r="C34" i="5" a="1"/>
  <c r="C34" i="5" s="1"/>
  <c r="B3" i="5" a="1"/>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F4" i="1"/>
  <c r="F1" i="3" s="1"/>
  <c r="C4" i="1" a="1"/>
  <c r="C4" i="1" s="1"/>
  <c r="B2" i="1"/>
  <c r="A2" i="1"/>
  <c r="B3" i="5" l="1"/>
  <c r="C3" i="5" s="1" a="1"/>
  <c r="C3" i="5" s="1"/>
  <c r="D28" i="5" a="1"/>
  <c r="D28" i="5" s="1"/>
  <c r="C28" i="5" a="1"/>
  <c r="C28" i="5" s="1"/>
  <c r="C27" i="5" a="1"/>
  <c r="C27" i="5" s="1"/>
  <c r="E27" i="5" a="1"/>
  <c r="E27" i="5" s="1"/>
  <c r="E28" i="5" a="1"/>
  <c r="E28" i="5" s="1"/>
  <c r="D27" i="5" a="1"/>
  <c r="D27" i="5" s="1"/>
  <c r="D26" i="5" a="1"/>
  <c r="D26" i="5" s="1"/>
  <c r="D4" i="5" a="1"/>
  <c r="D4" i="5" s="1"/>
  <c r="D25" i="5" a="1"/>
  <c r="D25" i="5" s="1"/>
  <c r="D24" i="5" a="1"/>
  <c r="D24" i="5" s="1"/>
  <c r="D23" i="5" a="1"/>
  <c r="D23" i="5" s="1"/>
  <c r="D22" i="5" a="1"/>
  <c r="D22" i="5" s="1"/>
  <c r="D21" i="5" a="1"/>
  <c r="D21" i="5" s="1"/>
  <c r="D20" i="5" a="1"/>
  <c r="D20" i="5" s="1"/>
  <c r="D19" i="5" a="1"/>
  <c r="D19" i="5" s="1"/>
  <c r="D18" i="5" a="1"/>
  <c r="D18" i="5" s="1"/>
  <c r="D17" i="5" a="1"/>
  <c r="D17" i="5" s="1"/>
  <c r="D15" i="5" a="1"/>
  <c r="D15" i="5" s="1"/>
  <c r="D6" i="5" a="1"/>
  <c r="D6" i="5" s="1"/>
  <c r="D13" i="5" a="1"/>
  <c r="D13" i="5" s="1"/>
  <c r="D11" i="5" a="1"/>
  <c r="D11" i="5" s="1"/>
  <c r="D8" i="5" a="1"/>
  <c r="D8" i="5" s="1"/>
  <c r="D16" i="5" a="1"/>
  <c r="D16" i="5" s="1"/>
  <c r="D10" i="5" a="1"/>
  <c r="D10" i="5" s="1"/>
  <c r="D9" i="5" a="1"/>
  <c r="D9" i="5" s="1"/>
  <c r="D5" i="5" a="1"/>
  <c r="D5" i="5" s="1"/>
  <c r="D14" i="5" a="1"/>
  <c r="D14" i="5" s="1"/>
  <c r="D12" i="5" a="1"/>
  <c r="D12" i="5" s="1"/>
  <c r="D7" i="5" a="1"/>
  <c r="D7" i="5" s="1"/>
  <c r="C21" i="5" a="1"/>
  <c r="C21" i="5" s="1"/>
  <c r="C18" i="5" a="1"/>
  <c r="C18" i="5" s="1"/>
  <c r="C16" i="5" a="1"/>
  <c r="C16" i="5" s="1"/>
  <c r="E19" i="5" a="1"/>
  <c r="E19" i="5" s="1"/>
  <c r="C19" i="5" a="1"/>
  <c r="C19" i="5" s="1"/>
  <c r="C12" i="5" a="1"/>
  <c r="C12" i="5" s="1"/>
  <c r="E20" i="5" a="1"/>
  <c r="E20" i="5" s="1"/>
  <c r="C5" i="5" a="1"/>
  <c r="C5" i="5" s="1"/>
  <c r="E8" i="5" a="1"/>
  <c r="E8" i="5" s="1"/>
  <c r="C17" i="5" a="1"/>
  <c r="C17" i="5" s="1"/>
  <c r="C15" i="5" a="1"/>
  <c r="C15" i="5" s="1"/>
  <c r="E22" i="5" a="1"/>
  <c r="E22" i="5" s="1"/>
  <c r="C10" i="5" a="1"/>
  <c r="C10" i="5" s="1"/>
  <c r="C8" i="5" a="1"/>
  <c r="C8" i="5" s="1"/>
  <c r="C7" i="5" a="1"/>
  <c r="C7" i="5" s="1"/>
  <c r="C6" i="5" a="1"/>
  <c r="C6" i="5" s="1"/>
  <c r="E13" i="5" a="1"/>
  <c r="E13" i="5" s="1"/>
  <c r="E10" i="5" a="1"/>
  <c r="E10" i="5" s="1"/>
  <c r="E7" i="5" a="1"/>
  <c r="E7" i="5" s="1"/>
  <c r="E26" i="5" a="1"/>
  <c r="E26" i="5" s="1"/>
  <c r="C14" i="5" a="1"/>
  <c r="C14" i="5" s="1"/>
  <c r="C13" i="5" a="1"/>
  <c r="C13" i="5" s="1"/>
  <c r="C11" i="5" a="1"/>
  <c r="C11" i="5" s="1"/>
  <c r="E18" i="5" a="1"/>
  <c r="E18" i="5" s="1"/>
  <c r="E9" i="5" a="1"/>
  <c r="E9" i="5" s="1"/>
  <c r="C26" i="5" a="1"/>
  <c r="C26" i="5" s="1"/>
  <c r="E6" i="5" a="1"/>
  <c r="E6" i="5" s="1"/>
  <c r="C22" i="5" a="1"/>
  <c r="C22" i="5" s="1"/>
  <c r="E25" i="5" a="1"/>
  <c r="E25" i="5" s="1"/>
  <c r="E23" i="5" a="1"/>
  <c r="E23" i="5" s="1"/>
  <c r="E16" i="5" a="1"/>
  <c r="E16" i="5" s="1"/>
  <c r="E14" i="5" a="1"/>
  <c r="E14" i="5" s="1"/>
  <c r="E12" i="5" a="1"/>
  <c r="E12" i="5" s="1"/>
  <c r="C25" i="5" a="1"/>
  <c r="C25" i="5" s="1"/>
  <c r="C20" i="5" a="1"/>
  <c r="C20" i="5" s="1"/>
  <c r="E24" i="5" a="1"/>
  <c r="E24" i="5" s="1"/>
  <c r="E21" i="5" a="1"/>
  <c r="E21" i="5" s="1"/>
  <c r="C9" i="5" a="1"/>
  <c r="C9" i="5" s="1"/>
  <c r="E17" i="5" a="1"/>
  <c r="E17" i="5" s="1"/>
  <c r="E15" i="5" a="1"/>
  <c r="E15" i="5" s="1"/>
  <c r="C4" i="5" a="1"/>
  <c r="C4" i="5" s="1"/>
  <c r="E11" i="5" a="1"/>
  <c r="E11" i="5" s="1"/>
  <c r="C24" i="5" a="1"/>
  <c r="C24" i="5" s="1"/>
  <c r="E5" i="5" a="1"/>
  <c r="E5" i="5" s="1"/>
  <c r="C23" i="5" a="1"/>
  <c r="C23" i="5" s="1"/>
  <c r="E4" i="5" a="1"/>
  <c r="E4" i="5" s="1"/>
  <c r="C2" i="1"/>
  <c r="D3" i="5" l="1" a="1"/>
  <c r="D3" i="5" s="1"/>
  <c r="E3" i="5" a="1"/>
  <c r="E3" i="5" s="1"/>
  <c r="F5" i="1" a="1"/>
  <c r="F5" i="1" s="1"/>
  <c r="F2" i="3" s="1"/>
  <c r="A4" i="1" a="1"/>
  <c r="A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B265A8-C100-46E5-82D7-3589F3845391}" keepAlive="1" name="Query - Export" description="Connection to the 'Export' query in the workbook." type="5" refreshedVersion="8" background="1" saveData="1">
    <dbPr connection="Provider=Microsoft.Mashup.OleDb.1;Data Source=$Workbook$;Location=Export;Extended Properties=&quot;&quot;" command="SELECT * FROM [Export]"/>
  </connection>
  <connection id="2" xr16:uid="{2E301DCD-B45B-4BFD-85D1-BE8C6B1C944B}" keepAlive="1" name="Query - GDD" description="Connection to the 'GDD' query in the workbook." type="5" refreshedVersion="0" background="1">
    <dbPr connection="Provider=Microsoft.Mashup.OleDb.1;Data Source=$Workbook$;Location=GDD;Extended Properties=&quot;&quot;" command="SELECT * FROM [GDD]"/>
  </connection>
  <connection id="3" xr16:uid="{448C750F-7C3F-402F-B87E-04E534265749}"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DBC71EB5-A9CA-4F95-A5DC-3FE1C6B1C6C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7DC236B0-E8F2-4A41-8011-492D6C023358}"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8EC0B2F3-D0AD-4C6D-9E20-DAB9B4C895F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<sst xmlns="http://schemas.openxmlformats.org/spreadsheetml/2006/main" count="903" uniqueCount="82">
  <si>
    <t>Source.Name</t>
  </si>
  <si>
    <t xml:space="preserve">DO or Franchise Name  </t>
  </si>
  <si>
    <t>store</t>
  </si>
  <si>
    <t>offer</t>
  </si>
  <si>
    <t>description</t>
  </si>
  <si>
    <t>price</t>
  </si>
  <si>
    <t>Papa Pairings</t>
  </si>
  <si>
    <t>(All)</t>
  </si>
  <si>
    <t>Row Labels</t>
  </si>
  <si>
    <t>Column Labels</t>
  </si>
  <si>
    <t>Sum of price</t>
  </si>
  <si>
    <t>price sort</t>
  </si>
  <si>
    <t>&lt;----Either "All" or select 1 option, select multiple not allowed</t>
  </si>
  <si>
    <t>Stores Displaying offer(s)</t>
  </si>
  <si>
    <t>Store Not Displaying</t>
  </si>
  <si>
    <t>Stores Displaying</t>
  </si>
  <si>
    <t>Stores Not Displaying offer(s)</t>
  </si>
  <si>
    <t>Large 1 Topping Pizza for $9.99  Carryout Only!</t>
  </si>
  <si>
    <t xml:space="preserve"> Large 1 Topping Pizza for $9.99  Carryout Only! </t>
  </si>
  <si>
    <t>Large 1-Topping Pizza</t>
  </si>
  <si>
    <t xml:space="preserve"> Large 1 Topping Pizza for only 12.99, Delivery Only. </t>
  </si>
  <si>
    <t>Epic Stuffed Crust 1-Topping Pizza</t>
  </si>
  <si>
    <t xml:space="preserve"> Epic Stuff Crust 1-Topping Pizza for ONLY $15.99 </t>
  </si>
  <si>
    <t>Any 10" Only $10</t>
  </si>
  <si>
    <t xml:space="preserve"> Any 10" original crust specialty or up to 5-topping pizza ONLY $10 </t>
  </si>
  <si>
    <t>Carryout ONLY! Large Specialty Pizza</t>
  </si>
  <si>
    <t xml:space="preserve"> Large Specialty Pizza $15.99. Carryout ONLY </t>
  </si>
  <si>
    <t>Any Large Pizza - Up to 5 Toppings or Specialty</t>
  </si>
  <si>
    <t xml:space="preserve"> Enjoy your favorite specialty or any 5-topping pizza on our large original or thin crust pizza </t>
  </si>
  <si>
    <t>Two Pizza Deal</t>
  </si>
  <si>
    <t xml:space="preserve"> Two Large Two Topping Pizzas </t>
  </si>
  <si>
    <t>NY-Style 1-Topping Pizza</t>
  </si>
  <si>
    <t xml:space="preserve"> New York Style 1-Topping Pizza </t>
  </si>
  <si>
    <t>Family Special</t>
  </si>
  <si>
    <t xml:space="preserve"> Any large specialty or 5-topping pizza and a large 2-topping pizza </t>
  </si>
  <si>
    <t>Carryout Offer - Large 5-topping or specialty</t>
  </si>
  <si>
    <t xml:space="preserve"> Large Specialty or up to 5 topping pizza </t>
  </si>
  <si>
    <t xml:space="preserve"> Enjoy your favorite specialty or any 5-topping pizza on our large original or thin crust pizza for only $18.99! </t>
  </si>
  <si>
    <t>Any Medium Specialty Or 5-Topping</t>
  </si>
  <si>
    <t xml:space="preserve"> Any Medium Specialty or 5-Topping Pizza </t>
  </si>
  <si>
    <t xml:space="preserve"> Extra Large 2-topping Pizza</t>
  </si>
  <si>
    <t xml:space="preserve"> Extra Large Two Topping Pizza </t>
  </si>
  <si>
    <t>2 Large 2-Topping Pizzas</t>
  </si>
  <si>
    <t xml:space="preserve"> Two Large 2 Topping Pizzas </t>
  </si>
  <si>
    <t>Any Large EPIC STUFFED CRUST</t>
  </si>
  <si>
    <t xml:space="preserve"> Any large EPIC STUFFED Crust with up to 5 toppings or Specialty pizza </t>
  </si>
  <si>
    <t>Carryout Offer  Large Specialty or 5-Topping Pizza</t>
  </si>
  <si>
    <t xml:space="preserve"> Large Specialty or up to 5 toppings $18.99 </t>
  </si>
  <si>
    <t>Stuffed Crust Specialty or up to 5 Topping</t>
  </si>
  <si>
    <t xml:space="preserve"> Large Stuffed Crust Specialty or up to 5 Topping Pizza only $20.99 </t>
  </si>
  <si>
    <t>Papa's Double Take</t>
  </si>
  <si>
    <t xml:space="preserve"> Two Large 2 Topping Pizzas only $12.99 each </t>
  </si>
  <si>
    <t>Portland</t>
  </si>
  <si>
    <t>Tacoma</t>
  </si>
  <si>
    <t>store #</t>
  </si>
  <si>
    <t>Franchise</t>
  </si>
  <si>
    <t>Store Count</t>
  </si>
  <si>
    <t>Offer Title</t>
  </si>
  <si>
    <t>Stores</t>
  </si>
  <si>
    <t>Region(s)</t>
  </si>
  <si>
    <t>Crispy Cuppy 'Roni</t>
  </si>
  <si>
    <t xml:space="preserve"> The possibilities are endless when you get you some Papa Pairings. Pair a Medium 1-topping Pizza with Boneless or Traditional Wings, Papadias, Breadsticks, Cheesesticks, Garlic Knots or Desserts for just $6.99 each. </t>
  </si>
  <si>
    <t>Free Delivery</t>
  </si>
  <si>
    <t xml:space="preserve"> Let us do the driving. Spend $45 or more and delivery is on us.
 </t>
  </si>
  <si>
    <t>Any Large Pizza</t>
  </si>
  <si>
    <t xml:space="preserve"> Any Large Specialty or up to 5-topping Pizza </t>
  </si>
  <si>
    <t>30% OFF - TOYS FOR KIDS</t>
  </si>
  <si>
    <t xml:space="preserve"> Enjoy 30% off regular menu price items when you apply this promo! Papa Johns will donate 10% of the discounted purchase price to Toys for Kids. </t>
  </si>
  <si>
    <t>Carryout Special</t>
  </si>
  <si>
    <t xml:space="preserve"> Carryout ONLY- Large 1-Topping pizza $8.99 </t>
  </si>
  <si>
    <t>Carryout Only- Large Specialty or 5-Topping Pizza</t>
  </si>
  <si>
    <t xml:space="preserve"> Large Specialty or up to 5-Topping Pizza- Only $13.99- Carryout only </t>
  </si>
  <si>
    <t xml:space="preserve"> Two Large 2-Topping Pizzas for only $24.99 </t>
  </si>
  <si>
    <t xml:space="preserve"> Any Large Specialty or 5 Topping Pizza and a Large 2 Topping Pizza for only $27.99 </t>
  </si>
  <si>
    <t>25% Off Regular Menu Price</t>
  </si>
  <si>
    <t>Small Deal</t>
  </si>
  <si>
    <t>NY Style Crispy Cuppy ‘Roni Pizza</t>
  </si>
  <si>
    <t>Get you that crispy, curly, cuppy pepperoni on top of an XL New York Style crust pizza with creamy tomato sauce and a three-cheese blend, finished with Italian seasoning. This ain't around forever, so walk fast like you’re in NYC and order one now.</t>
  </si>
  <si>
    <t>Crispy Cuppy 'Roni Papadia</t>
  </si>
  <si>
    <t xml:space="preserve"> Get you them curly, crispy, cuppy pepperoni, dreamy creamy tomato sauce and ooey gooey cheeses folded in our fresh, never frozen original dough for a handheld flatbread-style sandwich. </t>
  </si>
  <si>
    <t>Crispy Cuppy 'Roni Papa Bites</t>
  </si>
  <si>
    <t xml:space="preserve"> Get you them pillowy pockets of fresh, never frozen original dough, rolled up with curly, crispy, cuppy 'roni and original pepperoni, pizza sauce and gooey cheeses. Perfect to share, and even better not to share. Come get 'em for a limited time only.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</si>
</sst>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4"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2" fillId="2" borderId="1" xfId="0" applyFont="1" applyFill="1" applyBorder="1"/>
    <xf numFmtId="0" fontId="1" fillId="0" borderId="1" xfId="0" applyFont="1" applyBorder="1"/>
    <xf numFmtId="0" fontId="0" fillId="0" borderId="0" xfId="0" applyAlignment="1">
      <alignment horizontal="center"/>
    </xf>
    <xf numFmtId="8" fontId="0" fillId="0" borderId="0" xfId="0" applyNumberFormat="1"/>
    <xf numFmtId="6" fontId="0" fillId="0" borderId="0" xfId="0" applyNumberFormat="1"/>
    <xf numFmtId="0" fontId="0" fillId="0" borderId="0" xfId="0" applyAlignment="1">
      <alignment wrapText="1"/>
    </xf>
    <xf numFmtId="0" fontId="0" fillId="0" borderId="0" xfId="0" applyNumberFormat="1" applyAlignment="1"/>
    <xf numFmtId="0" fontId="2" fillId="2" borderId="2" xfId="0" applyFont="1" applyFill="1" applyBorder="1"/>
    <xf numFmtId="0" fontId="0" fillId="0" borderId="1" xfId="0" pivotButton="1" applyBorder="1"/>
    <xf numFmtId="0" fontId="0" fillId="0" borderId="1" xfId="0" applyBorder="1"/>
    <xf numFmtId="0" fontId="0" fillId="0" borderId="1" xfId="0" applyBorder="1" applyAlignment="1">
      <alignment horizontal="left"/>
    </xf>
    <xf numFmtId="0" fontId="0" fillId="0" borderId="1" xfId="0" applyNumberFormat="1" applyBorder="1"/>
  </cellXfs>
  <cellStyles count="1">
    <cellStyle name="Normal" xfId="0" builtinId="0"/>
  </cellStyles>
  <dxfs count="10">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2" formatCode="&quot;$&quot;#,##0.00_);[Red]\(&quot;$&quot;#,##0.00\)"/>
      <alignment horizontal="general" vertical="bottom" textRotation="0" wrapText="0" indent="0" justifyLastLine="0" shrinkToFit="0" readingOrder="0"/>
    </dxf>
    <dxf>
      <numFmt numFmtId="12" formatCode="&quot;$&quot;#,##0.00_);[Red]\(&quot;$&quot;#,##0.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1</xdr:row>
          <xdr:rowOff>76200</xdr:rowOff>
        </xdr:from>
        <xdr:to>
          <xdr:col>4</xdr:col>
          <xdr:colOff>266700</xdr:colOff>
          <xdr:row>5</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Pivot Table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stin Druet" refreshedDate="45384.423388310184" missingItemsLimit="0" createdVersion="8" refreshedVersion="8" minRefreshableVersion="3" recordCount="373" xr:uid="{01F685F9-DAE0-4904-A9E3-85F6DC644A6E}">
  <cacheSource type="worksheet">
    <worksheetSource name="Export"/>
  </cacheSource>
  <cacheFields count="7">
    <cacheField name="Source.Name" numFmtId="0">
      <sharedItems containsNonDate="0" containsString="0" containsBlank="1" count="1">
        <m/>
      </sharedItems>
    </cacheField>
    <cacheField name="DO or Franchise Name  " numFmtId="0">
      <sharedItems count="2">
        <s v="Portland"/>
        <s v="Tacoma"/>
      </sharedItems>
    </cacheField>
    <cacheField name="store" numFmtId="0">
      <sharedItems containsSemiMixedTypes="0" containsString="0" containsNumber="1" containsInteger="1" minValue="1740" maxValue="5296" count="26">
        <n v="1740"/>
        <n v="1743"/>
        <n v="2172"/>
        <n v="2174"/>
        <n v="2236"/>
        <n v="2272"/>
        <n v="2457"/>
        <n v="2549"/>
        <n v="2603"/>
        <n v="2953"/>
        <n v="3498"/>
        <n v="4778"/>
        <n v="2208"/>
        <n v="2325"/>
        <n v="2478"/>
        <n v="2612"/>
        <n v="2687"/>
        <n v="2921"/>
        <n v="3015"/>
        <n v="4405"/>
        <n v="5293"/>
        <n v="5296"/>
        <n v="2306"/>
        <n v="2618"/>
        <n v="3130"/>
        <n v="3479"/>
      </sharedItems>
    </cacheField>
    <cacheField name="offer" numFmtId="0">
      <sharedItems count="23">
        <s v="Crispy Cuppy 'Roni"/>
        <s v="Papa Pairings"/>
        <s v="Large 1 Topping Pizza for $9.99  Carryout Only!"/>
        <s v="Large 1-Topping Pizza"/>
        <s v="Free Delivery"/>
        <s v="Carryout Offer - Large 5-topping or specialty"/>
        <s v="Epic Stuffed Crust 1-Topping Pizza"/>
        <s v="Any 10&quot; Only $10"/>
        <s v="Any Large Pizza - Up to 5 Toppings or Specialty"/>
        <s v="Small Deal"/>
        <s v="Any Medium Specialty Or 5-Topping"/>
        <s v=" Extra Large 2-topping Pizza"/>
        <s v="2 Large 2-Topping Pizzas"/>
        <s v="NY-Style 1-Topping Pizza"/>
        <s v="Family Special"/>
        <s v="Any Large EPIC STUFFED CRUST"/>
        <s v="Carryout Offer  Large Specialty or 5-Topping Pizza"/>
        <s v="Stuffed Crust Specialty or up to 5 Topping"/>
        <s v="Papa's Double Take"/>
        <s v="Carryout ONLY! Large Specialty Pizza"/>
        <s v="Two Pizza Deal"/>
        <s v="25% Off Regular Menu Price"/>
        <s v="Any Large Pizza"/>
      </sharedItems>
    </cacheField>
    <cacheField name="description" numFmtId="0">
      <sharedItems longText="1"/>
    </cacheField>
    <cacheField name="price" numFmtId="0">
      <sharedItems containsString="0" containsBlank="1" containsNumber="1" minValue="6.99" maxValue="29.99"/>
    </cacheField>
    <cacheField name="price sort" numFmtId="0">
      <sharedItems containsString="0" containsBlank="1" containsNumber="1" minValue="6.99" maxValue="29.99" count="15">
        <m/>
        <n v="6.99"/>
        <n v="9.99"/>
        <n v="12.99"/>
        <n v="14.99"/>
        <n v="15.99"/>
        <n v="10"/>
        <n v="18.989999999999998"/>
        <n v="13.99"/>
        <n v="17.989999999999998"/>
        <n v="25.98"/>
        <n v="29.99"/>
        <n v="20.99"/>
        <n v="25.99"/>
        <n v="16.98999999999999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3">
  <r>
    <x v="0"/>
    <x v="0"/>
    <x v="0"/>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0"/>
    <x v="1"/>
    <s v=" The possibilities are endless when you get you some Papa Pairings. Pair a Medium 1-topping Pizza with Boneless or Traditional Wings, Papadias, Breadsticks, Cheesesticks, Garlic Knots or Desserts for just $6.99 each. "/>
    <n v="6.99"/>
    <x v="1"/>
  </r>
  <r>
    <x v="0"/>
    <x v="0"/>
    <x v="0"/>
    <x v="2"/>
    <s v=" Large 1 Topping Pizza for $9.99  Carryout Only! "/>
    <n v="9.99"/>
    <x v="2"/>
  </r>
  <r>
    <x v="0"/>
    <x v="0"/>
    <x v="0"/>
    <x v="3"/>
    <s v=" Large 1 Topping Pizza for only 12.99, Delivery Only. "/>
    <n v="12.99"/>
    <x v="3"/>
  </r>
  <r>
    <x v="0"/>
    <x v="0"/>
    <x v="0"/>
    <x v="4"/>
    <s v=" Let us do the driving. Spend $45 or more and delivery is on us._x000a_ "/>
    <m/>
    <x v="0"/>
  </r>
  <r>
    <x v="0"/>
    <x v="0"/>
    <x v="0"/>
    <x v="5"/>
    <s v=" Large Specialty or up to 5 topping pizza "/>
    <n v="14.99"/>
    <x v="4"/>
  </r>
  <r>
    <x v="0"/>
    <x v="0"/>
    <x v="0"/>
    <x v="6"/>
    <s v=" Epic Stuff Crust 1-Topping Pizza for ONLY $15.99 "/>
    <n v="15.99"/>
    <x v="5"/>
  </r>
  <r>
    <x v="0"/>
    <x v="0"/>
    <x v="0"/>
    <x v="7"/>
    <s v=" Any 10&quot; original crust specialty or up to 5-topping pizza ONLY $10 "/>
    <n v="10"/>
    <x v="6"/>
  </r>
  <r>
    <x v="0"/>
    <x v="0"/>
    <x v="0"/>
    <x v="8"/>
    <s v=" Enjoy your favorite specialty or any 5-topping pizza on our large original or thin crust pizza for only $18.99! "/>
    <n v="18.989999999999998"/>
    <x v="7"/>
  </r>
  <r>
    <x v="0"/>
    <x v="0"/>
    <x v="0"/>
    <x v="9"/>
    <s v=" Small Three Topping Pizza "/>
    <n v="9.99"/>
    <x v="2"/>
  </r>
  <r>
    <x v="0"/>
    <x v="0"/>
    <x v="0"/>
    <x v="10"/>
    <s v=" Any Medium Specialty or 5-Topping Pizza "/>
    <n v="13.99"/>
    <x v="8"/>
  </r>
  <r>
    <x v="0"/>
    <x v="0"/>
    <x v="0"/>
    <x v="11"/>
    <s v=" Extra Large Two Topping Pizza "/>
    <n v="17.989999999999998"/>
    <x v="9"/>
  </r>
  <r>
    <x v="0"/>
    <x v="0"/>
    <x v="0"/>
    <x v="12"/>
    <s v=" Two Large 2 Topping Pizzas "/>
    <n v="25.98"/>
    <x v="10"/>
  </r>
  <r>
    <x v="0"/>
    <x v="0"/>
    <x v="0"/>
    <x v="13"/>
    <s v=" New York Style 1-Topping Pizza "/>
    <n v="15.99"/>
    <x v="5"/>
  </r>
  <r>
    <x v="0"/>
    <x v="0"/>
    <x v="0"/>
    <x v="14"/>
    <s v=" Any large specialty or 5-topping pizza and a large 2-topping pizza "/>
    <n v="29.99"/>
    <x v="11"/>
  </r>
  <r>
    <x v="0"/>
    <x v="0"/>
    <x v="0"/>
    <x v="15"/>
    <s v=" Any large EPIC STUFFED Crust with up to 5 toppings or Specialty pizza "/>
    <n v="20.99"/>
    <x v="12"/>
  </r>
  <r>
    <x v="0"/>
    <x v="0"/>
    <x v="1"/>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1"/>
    <x v="1"/>
    <s v=" The possibilities are endless when you get you some Papa Pairings. Pair a Medium 1-topping Pizza with Boneless or Traditional Wings, Papadias, Breadsticks, Cheesesticks, Garlic Knots or Desserts for just $6.99 each. "/>
    <n v="6.99"/>
    <x v="1"/>
  </r>
  <r>
    <x v="0"/>
    <x v="0"/>
    <x v="1"/>
    <x v="2"/>
    <s v=" Large 1 Topping Pizza for $9.99  Carryout Only! "/>
    <n v="9.99"/>
    <x v="2"/>
  </r>
  <r>
    <x v="0"/>
    <x v="0"/>
    <x v="1"/>
    <x v="3"/>
    <s v=" Large 1 Topping Pizza for only 12.99, Delivery Only. "/>
    <n v="12.99"/>
    <x v="3"/>
  </r>
  <r>
    <x v="0"/>
    <x v="0"/>
    <x v="1"/>
    <x v="4"/>
    <s v=" Let us do the driving. Spend $45 or more and delivery is on us._x000a_ "/>
    <m/>
    <x v="0"/>
  </r>
  <r>
    <x v="0"/>
    <x v="0"/>
    <x v="1"/>
    <x v="5"/>
    <s v=" Large Specialty or up to 5 topping pizza "/>
    <n v="14.99"/>
    <x v="4"/>
  </r>
  <r>
    <x v="0"/>
    <x v="0"/>
    <x v="1"/>
    <x v="6"/>
    <s v=" Epic Stuff Crust 1-Topping Pizza for ONLY $15.99 "/>
    <n v="15.99"/>
    <x v="5"/>
  </r>
  <r>
    <x v="0"/>
    <x v="0"/>
    <x v="1"/>
    <x v="7"/>
    <s v=" Any 10&quot; original crust specialty or up to 5-topping pizza ONLY $10 "/>
    <n v="10"/>
    <x v="6"/>
  </r>
  <r>
    <x v="0"/>
    <x v="0"/>
    <x v="1"/>
    <x v="8"/>
    <s v=" Enjoy your favorite specialty or any 5-topping pizza on our large original or thin crust pizza for only $18.99! "/>
    <n v="18.989999999999998"/>
    <x v="7"/>
  </r>
  <r>
    <x v="0"/>
    <x v="0"/>
    <x v="1"/>
    <x v="9"/>
    <s v=" Small Three Topping Pizza "/>
    <n v="9.99"/>
    <x v="2"/>
  </r>
  <r>
    <x v="0"/>
    <x v="0"/>
    <x v="1"/>
    <x v="10"/>
    <s v=" Any Medium Specialty or 5-Topping Pizza "/>
    <n v="13.99"/>
    <x v="8"/>
  </r>
  <r>
    <x v="0"/>
    <x v="0"/>
    <x v="1"/>
    <x v="11"/>
    <s v=" Extra Large Two Topping Pizza "/>
    <n v="17.989999999999998"/>
    <x v="9"/>
  </r>
  <r>
    <x v="0"/>
    <x v="0"/>
    <x v="1"/>
    <x v="12"/>
    <s v=" Two Large 2 Topping Pizzas "/>
    <n v="25.98"/>
    <x v="10"/>
  </r>
  <r>
    <x v="0"/>
    <x v="0"/>
    <x v="1"/>
    <x v="13"/>
    <s v=" New York Style 1-Topping Pizza "/>
    <n v="15.99"/>
    <x v="5"/>
  </r>
  <r>
    <x v="0"/>
    <x v="0"/>
    <x v="1"/>
    <x v="14"/>
    <s v=" Any large specialty or 5-topping pizza and a large 2-topping pizza "/>
    <n v="29.99"/>
    <x v="11"/>
  </r>
  <r>
    <x v="0"/>
    <x v="0"/>
    <x v="1"/>
    <x v="15"/>
    <s v=" Any large EPIC STUFFED Crust with up to 5 toppings or Specialty pizza "/>
    <n v="20.99"/>
    <x v="12"/>
  </r>
  <r>
    <x v="0"/>
    <x v="0"/>
    <x v="2"/>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2"/>
    <x v="1"/>
    <s v=" The possibilities are endless when you get you some Papa Pairings. Pair a Medium 1-topping Pizza with Boneless or Traditional Wings, Papadias, Breadsticks, Cheesesticks, Garlic Knots or Desserts for just $6.99 each. "/>
    <n v="6.99"/>
    <x v="1"/>
  </r>
  <r>
    <x v="0"/>
    <x v="0"/>
    <x v="2"/>
    <x v="2"/>
    <s v=" Large 1 Topping Pizza for $9.99  Carryout Only! "/>
    <n v="9.99"/>
    <x v="2"/>
  </r>
  <r>
    <x v="0"/>
    <x v="0"/>
    <x v="2"/>
    <x v="3"/>
    <s v=" Large 1 Topping Pizza for only 12.99, Delivery Only. "/>
    <n v="12.99"/>
    <x v="3"/>
  </r>
  <r>
    <x v="0"/>
    <x v="0"/>
    <x v="2"/>
    <x v="4"/>
    <s v=" Let us do the driving. Spend $45 or more and delivery is on us._x000a_ "/>
    <m/>
    <x v="0"/>
  </r>
  <r>
    <x v="0"/>
    <x v="0"/>
    <x v="2"/>
    <x v="5"/>
    <s v=" Large Specialty or up to 5 topping pizza "/>
    <n v="14.99"/>
    <x v="4"/>
  </r>
  <r>
    <x v="0"/>
    <x v="0"/>
    <x v="2"/>
    <x v="6"/>
    <s v=" Epic Stuff Crust 1-Topping Pizza for ONLY $15.99 "/>
    <n v="15.99"/>
    <x v="5"/>
  </r>
  <r>
    <x v="0"/>
    <x v="0"/>
    <x v="2"/>
    <x v="7"/>
    <s v=" Any 10&quot; original crust specialty or up to 5-topping pizza ONLY $10 "/>
    <n v="10"/>
    <x v="6"/>
  </r>
  <r>
    <x v="0"/>
    <x v="0"/>
    <x v="2"/>
    <x v="8"/>
    <s v=" Enjoy your favorite specialty or any 5-topping pizza on our large original or thin crust pizza for only $18.99! "/>
    <n v="18.989999999999998"/>
    <x v="7"/>
  </r>
  <r>
    <x v="0"/>
    <x v="0"/>
    <x v="2"/>
    <x v="9"/>
    <s v=" Small Three Topping Pizza "/>
    <n v="9.99"/>
    <x v="2"/>
  </r>
  <r>
    <x v="0"/>
    <x v="0"/>
    <x v="2"/>
    <x v="10"/>
    <s v=" Any Medium Specialty or 5-Topping Pizza "/>
    <n v="13.99"/>
    <x v="8"/>
  </r>
  <r>
    <x v="0"/>
    <x v="0"/>
    <x v="2"/>
    <x v="11"/>
    <s v=" Extra Large Two Topping Pizza "/>
    <n v="17.989999999999998"/>
    <x v="9"/>
  </r>
  <r>
    <x v="0"/>
    <x v="0"/>
    <x v="2"/>
    <x v="12"/>
    <s v=" Two Large 2 Topping Pizzas "/>
    <n v="25.98"/>
    <x v="10"/>
  </r>
  <r>
    <x v="0"/>
    <x v="0"/>
    <x v="2"/>
    <x v="13"/>
    <s v=" New York Style 1-Topping Pizza "/>
    <n v="15.99"/>
    <x v="5"/>
  </r>
  <r>
    <x v="0"/>
    <x v="0"/>
    <x v="2"/>
    <x v="14"/>
    <s v=" Any large specialty or 5-topping pizza and a large 2-topping pizza "/>
    <n v="29.99"/>
    <x v="11"/>
  </r>
  <r>
    <x v="0"/>
    <x v="0"/>
    <x v="2"/>
    <x v="15"/>
    <s v=" Any large EPIC STUFFED Crust with up to 5 toppings or Specialty pizza "/>
    <n v="20.99"/>
    <x v="12"/>
  </r>
  <r>
    <x v="0"/>
    <x v="0"/>
    <x v="3"/>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3"/>
    <x v="1"/>
    <s v=" The possibilities are endless when you get you some Papa Pairings. Pair a Medium 1-topping Pizza with Boneless or Traditional Wings, Papadias, Breadsticks, Cheesesticks, Garlic Knots or Desserts for just $6.99 each. "/>
    <n v="6.99"/>
    <x v="1"/>
  </r>
  <r>
    <x v="0"/>
    <x v="0"/>
    <x v="3"/>
    <x v="2"/>
    <s v=" Large 1 Topping Pizza for $9.99  Carryout Only! "/>
    <n v="9.99"/>
    <x v="2"/>
  </r>
  <r>
    <x v="0"/>
    <x v="0"/>
    <x v="3"/>
    <x v="3"/>
    <s v=" Large 1 Topping Pizza for only 12.99, Delivery Only. "/>
    <n v="12.99"/>
    <x v="3"/>
  </r>
  <r>
    <x v="0"/>
    <x v="0"/>
    <x v="3"/>
    <x v="4"/>
    <s v=" Let us do the driving. Spend $45 or more and delivery is on us._x000a_ "/>
    <m/>
    <x v="0"/>
  </r>
  <r>
    <x v="0"/>
    <x v="0"/>
    <x v="3"/>
    <x v="5"/>
    <s v=" Large Specialty or up to 5 topping pizza "/>
    <n v="14.99"/>
    <x v="4"/>
  </r>
  <r>
    <x v="0"/>
    <x v="0"/>
    <x v="3"/>
    <x v="6"/>
    <s v=" Epic Stuff Crust 1-Topping Pizza for ONLY $15.99 "/>
    <n v="15.99"/>
    <x v="5"/>
  </r>
  <r>
    <x v="0"/>
    <x v="0"/>
    <x v="3"/>
    <x v="7"/>
    <s v=" Any 10&quot; original crust specialty or up to 5-topping pizza ONLY $10 "/>
    <n v="10"/>
    <x v="6"/>
  </r>
  <r>
    <x v="0"/>
    <x v="0"/>
    <x v="3"/>
    <x v="8"/>
    <s v=" Enjoy your favorite specialty or any 5-topping pizza on our large original or thin crust pizza for only $18.99! "/>
    <n v="18.989999999999998"/>
    <x v="7"/>
  </r>
  <r>
    <x v="0"/>
    <x v="0"/>
    <x v="3"/>
    <x v="9"/>
    <s v=" Small Three Topping Pizza "/>
    <n v="9.99"/>
    <x v="2"/>
  </r>
  <r>
    <x v="0"/>
    <x v="0"/>
    <x v="3"/>
    <x v="10"/>
    <s v=" Any Medium Specialty or 5-Topping Pizza "/>
    <n v="13.99"/>
    <x v="8"/>
  </r>
  <r>
    <x v="0"/>
    <x v="0"/>
    <x v="3"/>
    <x v="11"/>
    <s v=" Extra Large Two Topping Pizza "/>
    <n v="17.989999999999998"/>
    <x v="9"/>
  </r>
  <r>
    <x v="0"/>
    <x v="0"/>
    <x v="3"/>
    <x v="12"/>
    <s v=" Two Large 2 Topping Pizzas "/>
    <n v="25.98"/>
    <x v="10"/>
  </r>
  <r>
    <x v="0"/>
    <x v="0"/>
    <x v="3"/>
    <x v="13"/>
    <s v=" New York Style 1-Topping Pizza "/>
    <n v="15.99"/>
    <x v="5"/>
  </r>
  <r>
    <x v="0"/>
    <x v="0"/>
    <x v="3"/>
    <x v="14"/>
    <s v=" Any large specialty or 5-topping pizza and a large 2-topping pizza "/>
    <n v="29.99"/>
    <x v="11"/>
  </r>
  <r>
    <x v="0"/>
    <x v="0"/>
    <x v="3"/>
    <x v="15"/>
    <s v=" Any large EPIC STUFFED Crust with up to 5 toppings or Specialty pizza "/>
    <n v="20.99"/>
    <x v="12"/>
  </r>
  <r>
    <x v="0"/>
    <x v="0"/>
    <x v="4"/>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4"/>
    <x v="1"/>
    <s v=" The possibilities are endless when you get you some Papa Pairings. Pair a Medium 1-topping Pizza with Boneless or Traditional Wings, Papadias, Breadsticks, Cheesesticks, Garlic Knots or Desserts for just $6.99 each. "/>
    <n v="6.99"/>
    <x v="1"/>
  </r>
  <r>
    <x v="0"/>
    <x v="0"/>
    <x v="4"/>
    <x v="2"/>
    <s v=" Large 1 Topping Pizza for $9.99  Carryout Only! "/>
    <n v="9.99"/>
    <x v="2"/>
  </r>
  <r>
    <x v="0"/>
    <x v="0"/>
    <x v="4"/>
    <x v="3"/>
    <s v=" Large 1 Topping Pizza for only 12.99, Delivery Only. "/>
    <n v="12.99"/>
    <x v="3"/>
  </r>
  <r>
    <x v="0"/>
    <x v="0"/>
    <x v="4"/>
    <x v="4"/>
    <s v=" Let us do the driving. Spend $45 or more and delivery is on us._x000a_ "/>
    <m/>
    <x v="0"/>
  </r>
  <r>
    <x v="0"/>
    <x v="0"/>
    <x v="4"/>
    <x v="16"/>
    <s v=" Large Specialty or up to 5 topping pizza "/>
    <n v="14.99"/>
    <x v="4"/>
  </r>
  <r>
    <x v="0"/>
    <x v="0"/>
    <x v="4"/>
    <x v="6"/>
    <s v=" Epic Stuff Crust 1-Topping Pizza for ONLY $15.99 "/>
    <n v="15.99"/>
    <x v="5"/>
  </r>
  <r>
    <x v="0"/>
    <x v="0"/>
    <x v="4"/>
    <x v="7"/>
    <s v=" Any 10&quot; original crust specialty or up to 5-topping pizza ONLY $10 "/>
    <n v="10"/>
    <x v="6"/>
  </r>
  <r>
    <x v="0"/>
    <x v="0"/>
    <x v="4"/>
    <x v="8"/>
    <s v=" Large Specialty or up to 5 toppings $18.99 "/>
    <n v="18.989999999999998"/>
    <x v="7"/>
  </r>
  <r>
    <x v="0"/>
    <x v="0"/>
    <x v="4"/>
    <x v="9"/>
    <s v=" Small Three Topping Pizza "/>
    <n v="9.99"/>
    <x v="2"/>
  </r>
  <r>
    <x v="0"/>
    <x v="0"/>
    <x v="4"/>
    <x v="10"/>
    <s v=" Any Medium Specialty or 5-Topping Pizza "/>
    <n v="13.99"/>
    <x v="8"/>
  </r>
  <r>
    <x v="0"/>
    <x v="0"/>
    <x v="4"/>
    <x v="11"/>
    <s v=" Extra Large Two Topping Pizza "/>
    <n v="17.989999999999998"/>
    <x v="9"/>
  </r>
  <r>
    <x v="0"/>
    <x v="0"/>
    <x v="4"/>
    <x v="13"/>
    <s v=" New York Style 1-Topping Pizza "/>
    <n v="15.99"/>
    <x v="5"/>
  </r>
  <r>
    <x v="0"/>
    <x v="0"/>
    <x v="4"/>
    <x v="14"/>
    <s v=" Any large specialty or 5-topping pizza and a large 2-topping pizza "/>
    <n v="29.99"/>
    <x v="11"/>
  </r>
  <r>
    <x v="0"/>
    <x v="0"/>
    <x v="4"/>
    <x v="17"/>
    <s v=" Large Stuffed Crust Specialty or up to 5 Topping Pizza only $20.99 "/>
    <n v="20.99"/>
    <x v="12"/>
  </r>
  <r>
    <x v="0"/>
    <x v="0"/>
    <x v="4"/>
    <x v="18"/>
    <s v=" Two Large 2 Topping Pizzas only $12.99 each "/>
    <n v="25.98"/>
    <x v="10"/>
  </r>
  <r>
    <x v="0"/>
    <x v="0"/>
    <x v="5"/>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5"/>
    <x v="1"/>
    <s v=" The possibilities are endless when you get you some Papa Pairings. Pair a Medium 1-topping Pizza with Boneless or Traditional Wings, Papadias, Breadsticks, Cheesesticks, Garlic Knots or Desserts for just $6.99 each. "/>
    <n v="6.99"/>
    <x v="1"/>
  </r>
  <r>
    <x v="0"/>
    <x v="0"/>
    <x v="5"/>
    <x v="2"/>
    <s v=" Large 1 Topping Pizza for $9.99  Carryout Only! "/>
    <n v="9.99"/>
    <x v="2"/>
  </r>
  <r>
    <x v="0"/>
    <x v="0"/>
    <x v="5"/>
    <x v="3"/>
    <s v=" Large 1 Topping Pizza for only 12.99, Delivery Only. "/>
    <n v="12.99"/>
    <x v="3"/>
  </r>
  <r>
    <x v="0"/>
    <x v="0"/>
    <x v="5"/>
    <x v="4"/>
    <s v=" Let us do the driving. Spend $45 or more and delivery is on us._x000a_ "/>
    <m/>
    <x v="0"/>
  </r>
  <r>
    <x v="0"/>
    <x v="0"/>
    <x v="5"/>
    <x v="5"/>
    <s v=" Large Specialty or up to 5 topping pizza "/>
    <n v="14.99"/>
    <x v="4"/>
  </r>
  <r>
    <x v="0"/>
    <x v="0"/>
    <x v="5"/>
    <x v="6"/>
    <s v=" Epic Stuff Crust 1-Topping Pizza for ONLY $15.99 "/>
    <n v="15.99"/>
    <x v="5"/>
  </r>
  <r>
    <x v="0"/>
    <x v="0"/>
    <x v="5"/>
    <x v="7"/>
    <s v=" Any 10&quot; original crust specialty or up to 5-topping pizza ONLY $10 "/>
    <n v="10"/>
    <x v="6"/>
  </r>
  <r>
    <x v="0"/>
    <x v="0"/>
    <x v="5"/>
    <x v="8"/>
    <s v=" Enjoy your favorite specialty or any 5-topping pizza on our large original or thin crust pizza for only $18.99! "/>
    <n v="18.989999999999998"/>
    <x v="7"/>
  </r>
  <r>
    <x v="0"/>
    <x v="0"/>
    <x v="5"/>
    <x v="9"/>
    <s v=" Small Three Topping Pizza "/>
    <n v="9.99"/>
    <x v="2"/>
  </r>
  <r>
    <x v="0"/>
    <x v="0"/>
    <x v="5"/>
    <x v="10"/>
    <s v=" Any Medium Specialty or 5-Topping Pizza "/>
    <n v="13.99"/>
    <x v="8"/>
  </r>
  <r>
    <x v="0"/>
    <x v="0"/>
    <x v="5"/>
    <x v="11"/>
    <s v=" Extra Large Two Topping Pizza "/>
    <n v="17.989999999999998"/>
    <x v="9"/>
  </r>
  <r>
    <x v="0"/>
    <x v="0"/>
    <x v="5"/>
    <x v="12"/>
    <s v=" Two Large 2 Topping Pizzas "/>
    <n v="25.98"/>
    <x v="10"/>
  </r>
  <r>
    <x v="0"/>
    <x v="0"/>
    <x v="5"/>
    <x v="13"/>
    <s v=" New York Style 1-Topping Pizza "/>
    <n v="15.99"/>
    <x v="5"/>
  </r>
  <r>
    <x v="0"/>
    <x v="0"/>
    <x v="5"/>
    <x v="14"/>
    <s v=" Any large specialty or 5-topping pizza and a large 2-topping pizza "/>
    <n v="29.99"/>
    <x v="11"/>
  </r>
  <r>
    <x v="0"/>
    <x v="0"/>
    <x v="5"/>
    <x v="15"/>
    <s v=" Any large EPIC STUFFED Crust with up to 5 toppings or Specialty pizza "/>
    <n v="20.99"/>
    <x v="12"/>
  </r>
  <r>
    <x v="0"/>
    <x v="0"/>
    <x v="6"/>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6"/>
    <x v="1"/>
    <s v=" The possibilities are endless when you get you some Papa Pairings. Pair a Medium 1-topping Pizza with Boneless or Traditional Wings, Papadias, Breadsticks, Cheesesticks, Garlic Knots or Desserts for just $6.99 each. "/>
    <n v="6.99"/>
    <x v="1"/>
  </r>
  <r>
    <x v="0"/>
    <x v="0"/>
    <x v="6"/>
    <x v="2"/>
    <s v=" Large 1 Topping Pizza for $9.99  Carryout Only! "/>
    <n v="9.99"/>
    <x v="2"/>
  </r>
  <r>
    <x v="0"/>
    <x v="0"/>
    <x v="6"/>
    <x v="3"/>
    <s v=" Large 1 Topping Pizza for only 12.99, Delivery Only. "/>
    <n v="12.99"/>
    <x v="3"/>
  </r>
  <r>
    <x v="0"/>
    <x v="0"/>
    <x v="6"/>
    <x v="4"/>
    <s v=" Let us do the driving. Spend $45 or more and delivery is on us._x000a_ "/>
    <m/>
    <x v="0"/>
  </r>
  <r>
    <x v="0"/>
    <x v="0"/>
    <x v="6"/>
    <x v="5"/>
    <s v=" Large Specialty or up to 5 topping pizza "/>
    <n v="14.99"/>
    <x v="4"/>
  </r>
  <r>
    <x v="0"/>
    <x v="0"/>
    <x v="6"/>
    <x v="6"/>
    <s v=" Epic Stuff Crust 1-Topping Pizza for ONLY $15.99 "/>
    <n v="15.99"/>
    <x v="5"/>
  </r>
  <r>
    <x v="0"/>
    <x v="0"/>
    <x v="6"/>
    <x v="7"/>
    <s v=" Any 10&quot; original crust specialty or up to 5-topping pizza ONLY $10 "/>
    <n v="10"/>
    <x v="6"/>
  </r>
  <r>
    <x v="0"/>
    <x v="0"/>
    <x v="6"/>
    <x v="8"/>
    <s v=" Enjoy your favorite specialty or any 5-topping pizza on our large original or thin crust pizza for only $18.99! "/>
    <n v="18.989999999999998"/>
    <x v="7"/>
  </r>
  <r>
    <x v="0"/>
    <x v="0"/>
    <x v="6"/>
    <x v="9"/>
    <s v=" Small Three Topping Pizza "/>
    <n v="9.99"/>
    <x v="2"/>
  </r>
  <r>
    <x v="0"/>
    <x v="0"/>
    <x v="6"/>
    <x v="10"/>
    <s v=" Any Medium Specialty or 5-Topping Pizza "/>
    <n v="13.99"/>
    <x v="8"/>
  </r>
  <r>
    <x v="0"/>
    <x v="0"/>
    <x v="6"/>
    <x v="11"/>
    <s v=" Extra Large Two Topping Pizza "/>
    <n v="17.989999999999998"/>
    <x v="9"/>
  </r>
  <r>
    <x v="0"/>
    <x v="0"/>
    <x v="6"/>
    <x v="12"/>
    <s v=" Two Large 2 Topping Pizzas "/>
    <n v="25.98"/>
    <x v="10"/>
  </r>
  <r>
    <x v="0"/>
    <x v="0"/>
    <x v="6"/>
    <x v="13"/>
    <s v=" New York Style 1-Topping Pizza "/>
    <n v="15.99"/>
    <x v="5"/>
  </r>
  <r>
    <x v="0"/>
    <x v="0"/>
    <x v="6"/>
    <x v="14"/>
    <s v=" Any large specialty or 5-topping pizza and a large 2-topping pizza "/>
    <n v="29.99"/>
    <x v="11"/>
  </r>
  <r>
    <x v="0"/>
    <x v="0"/>
    <x v="6"/>
    <x v="15"/>
    <s v=" Any large EPIC STUFFED Crust with up to 5 toppings or Specialty pizza "/>
    <n v="20.99"/>
    <x v="12"/>
  </r>
  <r>
    <x v="0"/>
    <x v="0"/>
    <x v="7"/>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7"/>
    <x v="1"/>
    <s v=" The possibilities are endless when you get you some Papa Pairings. Pair a Medium 1-topping Pizza with Boneless or Traditional Wings, Papadias, Breadsticks, Cheesesticks, Garlic Knots or Desserts for just $6.99 each. "/>
    <n v="6.99"/>
    <x v="1"/>
  </r>
  <r>
    <x v="0"/>
    <x v="0"/>
    <x v="7"/>
    <x v="2"/>
    <s v=" Large 1 Topping Pizza for $9.99  Carryout Only! "/>
    <n v="9.99"/>
    <x v="2"/>
  </r>
  <r>
    <x v="0"/>
    <x v="0"/>
    <x v="7"/>
    <x v="3"/>
    <s v=" Large 1 Topping Pizza for only 12.99, Delivery Only. "/>
    <n v="12.99"/>
    <x v="3"/>
  </r>
  <r>
    <x v="0"/>
    <x v="0"/>
    <x v="7"/>
    <x v="4"/>
    <s v=" Let us do the driving. Spend $45 or more and delivery is on us._x000a_ "/>
    <m/>
    <x v="0"/>
  </r>
  <r>
    <x v="0"/>
    <x v="0"/>
    <x v="7"/>
    <x v="5"/>
    <s v=" Large Specialty or up to 5 topping pizza "/>
    <n v="14.99"/>
    <x v="4"/>
  </r>
  <r>
    <x v="0"/>
    <x v="0"/>
    <x v="7"/>
    <x v="6"/>
    <s v=" Epic Stuff Crust 1-Topping Pizza for ONLY $15.99 "/>
    <n v="15.99"/>
    <x v="5"/>
  </r>
  <r>
    <x v="0"/>
    <x v="0"/>
    <x v="7"/>
    <x v="7"/>
    <s v=" Any 10&quot; original crust specialty or up to 5-topping pizza ONLY $10 "/>
    <n v="10"/>
    <x v="6"/>
  </r>
  <r>
    <x v="0"/>
    <x v="0"/>
    <x v="7"/>
    <x v="8"/>
    <s v=" Enjoy your favorite specialty or any 5-topping pizza on our large original or thin crust pizza for only $18.99! "/>
    <n v="18.989999999999998"/>
    <x v="7"/>
  </r>
  <r>
    <x v="0"/>
    <x v="0"/>
    <x v="7"/>
    <x v="9"/>
    <s v=" Small Three Topping Pizza "/>
    <n v="9.99"/>
    <x v="2"/>
  </r>
  <r>
    <x v="0"/>
    <x v="0"/>
    <x v="7"/>
    <x v="10"/>
    <s v=" Any Medium Specialty or 5-Topping Pizza "/>
    <n v="13.99"/>
    <x v="8"/>
  </r>
  <r>
    <x v="0"/>
    <x v="0"/>
    <x v="7"/>
    <x v="11"/>
    <s v=" Extra Large Two Topping Pizza "/>
    <n v="17.989999999999998"/>
    <x v="9"/>
  </r>
  <r>
    <x v="0"/>
    <x v="0"/>
    <x v="7"/>
    <x v="12"/>
    <s v=" Two Large 2 Topping Pizzas "/>
    <n v="25.98"/>
    <x v="10"/>
  </r>
  <r>
    <x v="0"/>
    <x v="0"/>
    <x v="7"/>
    <x v="13"/>
    <s v=" New York Style 1-Topping Pizza "/>
    <n v="15.99"/>
    <x v="5"/>
  </r>
  <r>
    <x v="0"/>
    <x v="0"/>
    <x v="7"/>
    <x v="14"/>
    <s v=" Any large specialty or 5-topping pizza and a large 2-topping pizza "/>
    <n v="29.99"/>
    <x v="11"/>
  </r>
  <r>
    <x v="0"/>
    <x v="0"/>
    <x v="7"/>
    <x v="15"/>
    <s v=" Any large EPIC STUFFED Crust with up to 5 toppings or Specialty pizza "/>
    <n v="20.99"/>
    <x v="12"/>
  </r>
  <r>
    <x v="0"/>
    <x v="0"/>
    <x v="8"/>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8"/>
    <x v="1"/>
    <s v=" The possibilities are endless when you get you some Papa Pairings. Pair a Medium 1-topping Pizza with Boneless or Traditional Wings, Papadias, Breadsticks, Cheesesticks, Garlic Knots or Desserts for just $6.99 each. "/>
    <n v="6.99"/>
    <x v="1"/>
  </r>
  <r>
    <x v="0"/>
    <x v="0"/>
    <x v="8"/>
    <x v="2"/>
    <s v=" Large 1 Topping Pizza for $9.99  Carryout Only! "/>
    <n v="9.99"/>
    <x v="2"/>
  </r>
  <r>
    <x v="0"/>
    <x v="0"/>
    <x v="8"/>
    <x v="3"/>
    <s v=" Large 1 Topping Pizza for only 12.99, Delivery Only. "/>
    <n v="12.99"/>
    <x v="3"/>
  </r>
  <r>
    <x v="0"/>
    <x v="0"/>
    <x v="8"/>
    <x v="4"/>
    <s v=" Let us do the driving. Spend $45 or more and delivery is on us._x000a_ "/>
    <m/>
    <x v="0"/>
  </r>
  <r>
    <x v="0"/>
    <x v="0"/>
    <x v="8"/>
    <x v="5"/>
    <s v=" Large Specialty or up to 5 topping pizza "/>
    <n v="14.99"/>
    <x v="4"/>
  </r>
  <r>
    <x v="0"/>
    <x v="0"/>
    <x v="8"/>
    <x v="6"/>
    <s v=" Epic Stuff Crust 1-Topping Pizza for ONLY $15.99 "/>
    <n v="15.99"/>
    <x v="5"/>
  </r>
  <r>
    <x v="0"/>
    <x v="0"/>
    <x v="8"/>
    <x v="7"/>
    <s v=" Any 10&quot; original crust specialty or up to 5-topping pizza ONLY $10 "/>
    <n v="10"/>
    <x v="6"/>
  </r>
  <r>
    <x v="0"/>
    <x v="0"/>
    <x v="8"/>
    <x v="8"/>
    <s v=" Enjoy your favorite specialty or any 5-topping pizza on our large original or thin crust pizza for only $18.99! "/>
    <n v="18.989999999999998"/>
    <x v="7"/>
  </r>
  <r>
    <x v="0"/>
    <x v="0"/>
    <x v="8"/>
    <x v="9"/>
    <s v=" Small Three Topping Pizza "/>
    <n v="9.99"/>
    <x v="2"/>
  </r>
  <r>
    <x v="0"/>
    <x v="0"/>
    <x v="8"/>
    <x v="10"/>
    <s v=" Any Medium Specialty or 5-Topping Pizza "/>
    <n v="13.99"/>
    <x v="8"/>
  </r>
  <r>
    <x v="0"/>
    <x v="0"/>
    <x v="8"/>
    <x v="11"/>
    <s v=" Extra Large Two Topping Pizza "/>
    <n v="17.989999999999998"/>
    <x v="9"/>
  </r>
  <r>
    <x v="0"/>
    <x v="0"/>
    <x v="8"/>
    <x v="12"/>
    <s v=" Two Large 2 Topping Pizzas "/>
    <n v="25.98"/>
    <x v="10"/>
  </r>
  <r>
    <x v="0"/>
    <x v="0"/>
    <x v="8"/>
    <x v="13"/>
    <s v=" New York Style 1-Topping Pizza "/>
    <n v="15.99"/>
    <x v="5"/>
  </r>
  <r>
    <x v="0"/>
    <x v="0"/>
    <x v="8"/>
    <x v="14"/>
    <s v=" Any large specialty or 5-topping pizza and a large 2-topping pizza "/>
    <n v="29.99"/>
    <x v="11"/>
  </r>
  <r>
    <x v="0"/>
    <x v="0"/>
    <x v="8"/>
    <x v="15"/>
    <s v=" Any large EPIC STUFFED Crust with up to 5 toppings or Specialty pizza "/>
    <n v="20.99"/>
    <x v="12"/>
  </r>
  <r>
    <x v="0"/>
    <x v="0"/>
    <x v="9"/>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9"/>
    <x v="1"/>
    <s v=" The possibilities are endless when you get you some Papa Pairings. Pair a Medium 1-topping Pizza with Boneless or Traditional Wings, Papadias, Breadsticks, Cheesesticks, Garlic Knots or Desserts for just $6.99 each. "/>
    <n v="6.99"/>
    <x v="1"/>
  </r>
  <r>
    <x v="0"/>
    <x v="0"/>
    <x v="9"/>
    <x v="2"/>
    <s v=" Large 1 Topping Pizza for $9.99  Carryout Only! "/>
    <n v="9.99"/>
    <x v="2"/>
  </r>
  <r>
    <x v="0"/>
    <x v="0"/>
    <x v="9"/>
    <x v="3"/>
    <s v=" Large 1 Topping Pizza for only 12.99, Delivery Only. "/>
    <n v="12.99"/>
    <x v="3"/>
  </r>
  <r>
    <x v="0"/>
    <x v="0"/>
    <x v="9"/>
    <x v="4"/>
    <s v=" Let us do the driving. Spend $45 or more and delivery is on us._x000a_ "/>
    <m/>
    <x v="0"/>
  </r>
  <r>
    <x v="0"/>
    <x v="0"/>
    <x v="9"/>
    <x v="16"/>
    <s v=" Large Specialty or up to 5 topping pizza "/>
    <n v="14.99"/>
    <x v="4"/>
  </r>
  <r>
    <x v="0"/>
    <x v="0"/>
    <x v="9"/>
    <x v="6"/>
    <s v=" Epic Stuff Crust 1-Topping Pizza for ONLY $15.99 "/>
    <n v="15.99"/>
    <x v="5"/>
  </r>
  <r>
    <x v="0"/>
    <x v="0"/>
    <x v="9"/>
    <x v="7"/>
    <s v=" Any 10&quot; original crust specialty or up to 5-topping pizza ONLY $10 "/>
    <n v="10"/>
    <x v="6"/>
  </r>
  <r>
    <x v="0"/>
    <x v="0"/>
    <x v="9"/>
    <x v="8"/>
    <s v=" Large Specialty or up to 5 toppings $18.99 "/>
    <n v="18.989999999999998"/>
    <x v="7"/>
  </r>
  <r>
    <x v="0"/>
    <x v="0"/>
    <x v="9"/>
    <x v="9"/>
    <s v=" Small Three Topping Pizza "/>
    <n v="9.99"/>
    <x v="2"/>
  </r>
  <r>
    <x v="0"/>
    <x v="0"/>
    <x v="9"/>
    <x v="10"/>
    <s v=" Any Medium Specialty or 5-Topping Pizza "/>
    <n v="13.99"/>
    <x v="8"/>
  </r>
  <r>
    <x v="0"/>
    <x v="0"/>
    <x v="9"/>
    <x v="11"/>
    <s v=" Extra Large Two Topping Pizza "/>
    <n v="17.989999999999998"/>
    <x v="9"/>
  </r>
  <r>
    <x v="0"/>
    <x v="0"/>
    <x v="9"/>
    <x v="13"/>
    <s v=" New York Style 1-Topping Pizza "/>
    <n v="15.99"/>
    <x v="5"/>
  </r>
  <r>
    <x v="0"/>
    <x v="0"/>
    <x v="9"/>
    <x v="14"/>
    <s v=" Any large specialty or 5-topping pizza and a large 2-topping pizza "/>
    <n v="29.99"/>
    <x v="11"/>
  </r>
  <r>
    <x v="0"/>
    <x v="0"/>
    <x v="9"/>
    <x v="17"/>
    <s v=" Large Stuffed Crust Specialty or up to 5 Topping Pizza only $20.99 "/>
    <n v="20.99"/>
    <x v="12"/>
  </r>
  <r>
    <x v="0"/>
    <x v="0"/>
    <x v="9"/>
    <x v="18"/>
    <s v=" Two Large 2 Topping Pizzas only $12.99 each "/>
    <n v="25.98"/>
    <x v="10"/>
  </r>
  <r>
    <x v="0"/>
    <x v="0"/>
    <x v="10"/>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10"/>
    <x v="1"/>
    <s v=" The possibilities are endless when you get you some Papa Pairings. Pair a Medium 1-topping Pizza with Boneless or Traditional Wings, Papadias, Breadsticks, Cheesesticks, Garlic Knots or Desserts for just $6.99 each. "/>
    <n v="6.99"/>
    <x v="1"/>
  </r>
  <r>
    <x v="0"/>
    <x v="0"/>
    <x v="10"/>
    <x v="2"/>
    <s v=" Large 1 Topping Pizza for $9.99  Carryout Only! "/>
    <n v="9.99"/>
    <x v="2"/>
  </r>
  <r>
    <x v="0"/>
    <x v="0"/>
    <x v="10"/>
    <x v="3"/>
    <s v=" Large 1 Topping Pizza for only 12.99, Delivery Only. "/>
    <n v="12.99"/>
    <x v="3"/>
  </r>
  <r>
    <x v="0"/>
    <x v="0"/>
    <x v="10"/>
    <x v="4"/>
    <s v=" Let us do the driving. Spend $45 or more and delivery is on us._x000a_ "/>
    <m/>
    <x v="0"/>
  </r>
  <r>
    <x v="0"/>
    <x v="0"/>
    <x v="10"/>
    <x v="16"/>
    <s v=" Large Specialty or up to 5 topping pizza "/>
    <n v="14.99"/>
    <x v="4"/>
  </r>
  <r>
    <x v="0"/>
    <x v="0"/>
    <x v="10"/>
    <x v="6"/>
    <s v=" Epic Stuff Crust 1-Topping Pizza for ONLY $15.99 "/>
    <n v="15.99"/>
    <x v="5"/>
  </r>
  <r>
    <x v="0"/>
    <x v="0"/>
    <x v="10"/>
    <x v="7"/>
    <s v=" Any 10&quot; original crust specialty or up to 5-topping pizza ONLY $10 "/>
    <n v="10"/>
    <x v="6"/>
  </r>
  <r>
    <x v="0"/>
    <x v="0"/>
    <x v="10"/>
    <x v="8"/>
    <s v=" Large Specialty or up to 5 toppings $18.99 "/>
    <n v="18.989999999999998"/>
    <x v="7"/>
  </r>
  <r>
    <x v="0"/>
    <x v="0"/>
    <x v="10"/>
    <x v="9"/>
    <s v=" Small Three Topping Pizza "/>
    <n v="9.99"/>
    <x v="2"/>
  </r>
  <r>
    <x v="0"/>
    <x v="0"/>
    <x v="10"/>
    <x v="10"/>
    <s v=" Any Medium Specialty or 5-Topping Pizza "/>
    <n v="13.99"/>
    <x v="8"/>
  </r>
  <r>
    <x v="0"/>
    <x v="0"/>
    <x v="10"/>
    <x v="11"/>
    <s v=" Extra Large Two Topping Pizza "/>
    <n v="17.989999999999998"/>
    <x v="9"/>
  </r>
  <r>
    <x v="0"/>
    <x v="0"/>
    <x v="10"/>
    <x v="13"/>
    <s v=" New York Style 1-Topping Pizza "/>
    <n v="15.99"/>
    <x v="5"/>
  </r>
  <r>
    <x v="0"/>
    <x v="0"/>
    <x v="10"/>
    <x v="14"/>
    <s v=" Any large specialty or 5-topping pizza and a large 2-topping pizza "/>
    <n v="29.99"/>
    <x v="11"/>
  </r>
  <r>
    <x v="0"/>
    <x v="0"/>
    <x v="10"/>
    <x v="17"/>
    <s v=" Large Stuffed Crust Specialty or up to 5 Topping Pizza only $20.99 "/>
    <n v="20.99"/>
    <x v="12"/>
  </r>
  <r>
    <x v="0"/>
    <x v="0"/>
    <x v="10"/>
    <x v="18"/>
    <s v=" Two Large 2 Topping Pizzas only $12.99 each "/>
    <n v="25.98"/>
    <x v="10"/>
  </r>
  <r>
    <x v="0"/>
    <x v="0"/>
    <x v="11"/>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0"/>
    <x v="11"/>
    <x v="1"/>
    <s v=" The possibilities are endless when you get you some Papa Pairings. Pair a Medium 1-topping Pizza with Boneless or Traditional Wings, Papadias, Breadsticks, Cheesesticks, Garlic Knots or Desserts for just $6.99 each. "/>
    <n v="6.99"/>
    <x v="1"/>
  </r>
  <r>
    <x v="0"/>
    <x v="0"/>
    <x v="11"/>
    <x v="2"/>
    <s v=" Large 1 Topping Pizza for $9.99  Carryout Only! "/>
    <n v="9.99"/>
    <x v="2"/>
  </r>
  <r>
    <x v="0"/>
    <x v="0"/>
    <x v="11"/>
    <x v="3"/>
    <s v=" Large 1 Topping Pizza for only 12.99, Delivery Only. "/>
    <n v="12.99"/>
    <x v="3"/>
  </r>
  <r>
    <x v="0"/>
    <x v="0"/>
    <x v="11"/>
    <x v="4"/>
    <s v=" Let us do the driving. Spend $45 or more and delivery is on us._x000a_ "/>
    <m/>
    <x v="0"/>
  </r>
  <r>
    <x v="0"/>
    <x v="0"/>
    <x v="11"/>
    <x v="5"/>
    <s v=" Large Specialty or up to 5 topping pizza "/>
    <n v="14.99"/>
    <x v="4"/>
  </r>
  <r>
    <x v="0"/>
    <x v="0"/>
    <x v="11"/>
    <x v="6"/>
    <s v=" Epic Stuff Crust 1-Topping Pizza for ONLY $15.99 "/>
    <n v="15.99"/>
    <x v="5"/>
  </r>
  <r>
    <x v="0"/>
    <x v="0"/>
    <x v="11"/>
    <x v="7"/>
    <s v=" Any 10&quot; original crust specialty or up to 5-topping pizza ONLY $10 "/>
    <n v="10"/>
    <x v="6"/>
  </r>
  <r>
    <x v="0"/>
    <x v="0"/>
    <x v="11"/>
    <x v="8"/>
    <s v=" Enjoy your favorite specialty or any 5-topping pizza on our large original or thin crust pizza for only $18.99! "/>
    <n v="18.989999999999998"/>
    <x v="7"/>
  </r>
  <r>
    <x v="0"/>
    <x v="0"/>
    <x v="11"/>
    <x v="9"/>
    <s v=" Small Three Topping Pizza "/>
    <n v="9.99"/>
    <x v="2"/>
  </r>
  <r>
    <x v="0"/>
    <x v="0"/>
    <x v="11"/>
    <x v="10"/>
    <s v=" Any Medium Specialty or 5-Topping Pizza "/>
    <n v="13.99"/>
    <x v="8"/>
  </r>
  <r>
    <x v="0"/>
    <x v="0"/>
    <x v="11"/>
    <x v="11"/>
    <s v=" Extra Large Two Topping Pizza "/>
    <n v="17.989999999999998"/>
    <x v="9"/>
  </r>
  <r>
    <x v="0"/>
    <x v="0"/>
    <x v="11"/>
    <x v="12"/>
    <s v=" Two Large 2 Topping Pizzas "/>
    <n v="25.98"/>
    <x v="10"/>
  </r>
  <r>
    <x v="0"/>
    <x v="0"/>
    <x v="11"/>
    <x v="13"/>
    <s v=" New York Style 1-Topping Pizza "/>
    <n v="15.99"/>
    <x v="5"/>
  </r>
  <r>
    <x v="0"/>
    <x v="0"/>
    <x v="11"/>
    <x v="14"/>
    <s v=" Any large specialty or 5-topping pizza and a large 2-topping pizza "/>
    <n v="29.99"/>
    <x v="11"/>
  </r>
  <r>
    <x v="0"/>
    <x v="0"/>
    <x v="11"/>
    <x v="15"/>
    <s v=" Any large EPIC STUFFED Crust with up to 5 toppings or Specialty pizza "/>
    <n v="20.99"/>
    <x v="12"/>
  </r>
  <r>
    <x v="0"/>
    <x v="1"/>
    <x v="12"/>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2"/>
    <x v="1"/>
    <s v=" The possibilities are endless when you get you some Papa Pairings. Pair a Medium 1-topping Pizza with Boneless or Traditional Wings, Papadias, Breadsticks, Cheesesticks, Garlic Knots or Desserts for just $6.99 each. "/>
    <n v="6.99"/>
    <x v="1"/>
  </r>
  <r>
    <x v="0"/>
    <x v="1"/>
    <x v="12"/>
    <x v="2"/>
    <s v=" Large 1 Topping Pizza for $9.99  Carryout Only! "/>
    <n v="9.99"/>
    <x v="2"/>
  </r>
  <r>
    <x v="0"/>
    <x v="1"/>
    <x v="12"/>
    <x v="3"/>
    <s v=" Large 1 Topping Pizza for only 12.99, Delivery Only. "/>
    <n v="12.99"/>
    <x v="3"/>
  </r>
  <r>
    <x v="0"/>
    <x v="1"/>
    <x v="12"/>
    <x v="4"/>
    <s v=" Let us do the driving. Spend $45 or more and delivery is on us._x000a_ "/>
    <m/>
    <x v="0"/>
  </r>
  <r>
    <x v="0"/>
    <x v="1"/>
    <x v="12"/>
    <x v="6"/>
    <s v=" Epic Stuff Crust 1-Topping Pizza for ONLY $15.99 "/>
    <n v="15.99"/>
    <x v="5"/>
  </r>
  <r>
    <x v="0"/>
    <x v="1"/>
    <x v="12"/>
    <x v="7"/>
    <s v=" Any 10&quot; original crust specialty or up to 5-topping pizza ONLY $10 "/>
    <n v="10"/>
    <x v="6"/>
  </r>
  <r>
    <x v="0"/>
    <x v="1"/>
    <x v="12"/>
    <x v="19"/>
    <s v=" Large Specialty Pizza $15.99. Carryout ONLY "/>
    <n v="15.99"/>
    <x v="5"/>
  </r>
  <r>
    <x v="0"/>
    <x v="1"/>
    <x v="12"/>
    <x v="8"/>
    <s v=" Enjoy your favorite specialty or any 5-topping pizza on our large original or thin crust pizza "/>
    <n v="18.989999999999998"/>
    <x v="7"/>
  </r>
  <r>
    <x v="0"/>
    <x v="1"/>
    <x v="12"/>
    <x v="20"/>
    <s v=" Two Large Two Topping Pizzas "/>
    <n v="25.99"/>
    <x v="13"/>
  </r>
  <r>
    <x v="0"/>
    <x v="1"/>
    <x v="12"/>
    <x v="13"/>
    <s v=" New York Style 1-Topping Pizza "/>
    <n v="15.99"/>
    <x v="5"/>
  </r>
  <r>
    <x v="0"/>
    <x v="1"/>
    <x v="12"/>
    <x v="14"/>
    <s v=" Any large specialty or 5-topping pizza and a large 2-topping pizza "/>
    <n v="29.99"/>
    <x v="11"/>
  </r>
  <r>
    <x v="0"/>
    <x v="1"/>
    <x v="12"/>
    <x v="21"/>
    <s v=" 25% Off Your Entire Menu Price Order! "/>
    <m/>
    <x v="0"/>
  </r>
  <r>
    <x v="0"/>
    <x v="1"/>
    <x v="13"/>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3"/>
    <x v="1"/>
    <s v=" The possibilities are endless when you get you some Papa Pairings. Pair a Medium 1-topping Pizza with Boneless or Traditional Wings, Papadias, Breadsticks, Cheesesticks, Garlic Knots or Desserts for just $6.99 each. "/>
    <n v="6.99"/>
    <x v="1"/>
  </r>
  <r>
    <x v="0"/>
    <x v="1"/>
    <x v="13"/>
    <x v="2"/>
    <s v=" Large 1 Topping Pizza for $9.99  Carryout Only! "/>
    <n v="9.99"/>
    <x v="2"/>
  </r>
  <r>
    <x v="0"/>
    <x v="1"/>
    <x v="13"/>
    <x v="3"/>
    <s v=" Large 1 Topping Pizza for only 12.99, Delivery Only. "/>
    <n v="12.99"/>
    <x v="3"/>
  </r>
  <r>
    <x v="0"/>
    <x v="1"/>
    <x v="13"/>
    <x v="4"/>
    <s v=" Let us do the driving. Spend $45 or more and delivery is on us._x000a_ "/>
    <m/>
    <x v="0"/>
  </r>
  <r>
    <x v="0"/>
    <x v="1"/>
    <x v="13"/>
    <x v="6"/>
    <s v=" Epic Stuff Crust 1-Topping Pizza for ONLY $15.99 "/>
    <n v="15.99"/>
    <x v="5"/>
  </r>
  <r>
    <x v="0"/>
    <x v="1"/>
    <x v="13"/>
    <x v="7"/>
    <s v=" Any 10&quot; original crust specialty or up to 5-topping pizza ONLY $10 "/>
    <n v="10"/>
    <x v="6"/>
  </r>
  <r>
    <x v="0"/>
    <x v="1"/>
    <x v="13"/>
    <x v="19"/>
    <s v=" Large Specialty Pizza $15.99. Carryout ONLY "/>
    <n v="15.99"/>
    <x v="5"/>
  </r>
  <r>
    <x v="0"/>
    <x v="1"/>
    <x v="13"/>
    <x v="8"/>
    <s v=" Enjoy your favorite specialty or any 5-topping pizza on our large original or thin crust pizza "/>
    <n v="18.989999999999998"/>
    <x v="7"/>
  </r>
  <r>
    <x v="0"/>
    <x v="1"/>
    <x v="13"/>
    <x v="20"/>
    <s v=" Two Large Two Topping Pizzas "/>
    <n v="25.99"/>
    <x v="13"/>
  </r>
  <r>
    <x v="0"/>
    <x v="1"/>
    <x v="13"/>
    <x v="13"/>
    <s v=" New York Style 1-Topping Pizza "/>
    <n v="15.99"/>
    <x v="5"/>
  </r>
  <r>
    <x v="0"/>
    <x v="1"/>
    <x v="13"/>
    <x v="14"/>
    <s v=" Any large specialty or 5-topping pizza and a large 2-topping pizza "/>
    <n v="29.99"/>
    <x v="11"/>
  </r>
  <r>
    <x v="0"/>
    <x v="1"/>
    <x v="13"/>
    <x v="21"/>
    <s v=" 25% Off Your Entire Menu Price Order! "/>
    <m/>
    <x v="0"/>
  </r>
  <r>
    <x v="0"/>
    <x v="1"/>
    <x v="14"/>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4"/>
    <x v="1"/>
    <s v=" The possibilities are endless when you get you some Papa Pairings. Pair a Medium 1-topping Pizza with Boneless or Traditional Wings, Papadias, Breadsticks, Cheesesticks, Garlic Knots or Desserts for just $6.99 each. "/>
    <n v="6.99"/>
    <x v="1"/>
  </r>
  <r>
    <x v="0"/>
    <x v="1"/>
    <x v="14"/>
    <x v="2"/>
    <s v=" Large 1 Topping Pizza for $9.99  Carryout Only! "/>
    <n v="9.99"/>
    <x v="2"/>
  </r>
  <r>
    <x v="0"/>
    <x v="1"/>
    <x v="14"/>
    <x v="3"/>
    <s v=" Large 1 Topping Pizza for only 12.99, Delivery Only. "/>
    <n v="12.99"/>
    <x v="3"/>
  </r>
  <r>
    <x v="0"/>
    <x v="1"/>
    <x v="14"/>
    <x v="4"/>
    <s v=" Let us do the driving. Spend $45 or more and delivery is on us._x000a_ "/>
    <m/>
    <x v="0"/>
  </r>
  <r>
    <x v="0"/>
    <x v="1"/>
    <x v="14"/>
    <x v="6"/>
    <s v=" Epic Stuff Crust 1-Topping Pizza for ONLY $15.99 "/>
    <n v="15.99"/>
    <x v="5"/>
  </r>
  <r>
    <x v="0"/>
    <x v="1"/>
    <x v="14"/>
    <x v="7"/>
    <s v=" Any 10&quot; original crust specialty or up to 5-topping pizza ONLY $10 "/>
    <n v="10"/>
    <x v="6"/>
  </r>
  <r>
    <x v="0"/>
    <x v="1"/>
    <x v="14"/>
    <x v="19"/>
    <s v=" Large Specialty Pizza $15.99. Carryout ONLY "/>
    <n v="15.99"/>
    <x v="5"/>
  </r>
  <r>
    <x v="0"/>
    <x v="1"/>
    <x v="14"/>
    <x v="8"/>
    <s v=" Enjoy your favorite specialty or any 5-topping pizza on our large original or thin crust pizza "/>
    <n v="18.989999999999998"/>
    <x v="7"/>
  </r>
  <r>
    <x v="0"/>
    <x v="1"/>
    <x v="14"/>
    <x v="20"/>
    <s v=" Two Large Two Topping Pizzas "/>
    <n v="25.99"/>
    <x v="13"/>
  </r>
  <r>
    <x v="0"/>
    <x v="1"/>
    <x v="14"/>
    <x v="13"/>
    <s v=" New York Style 1-Topping Pizza "/>
    <n v="15.99"/>
    <x v="5"/>
  </r>
  <r>
    <x v="0"/>
    <x v="1"/>
    <x v="14"/>
    <x v="14"/>
    <s v=" Any large specialty or 5-topping pizza and a large 2-topping pizza "/>
    <n v="29.99"/>
    <x v="11"/>
  </r>
  <r>
    <x v="0"/>
    <x v="1"/>
    <x v="14"/>
    <x v="21"/>
    <s v=" 25% Off Your Entire Menu Price Order! "/>
    <m/>
    <x v="0"/>
  </r>
  <r>
    <x v="0"/>
    <x v="1"/>
    <x v="15"/>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5"/>
    <x v="1"/>
    <s v=" The possibilities are endless when you get you some Papa Pairings. Pair a Medium 1-topping Pizza with Boneless or Traditional Wings, Papadias, Breadsticks, Cheesesticks, Garlic Knots or Desserts for just $6.99 each. "/>
    <n v="6.99"/>
    <x v="1"/>
  </r>
  <r>
    <x v="0"/>
    <x v="1"/>
    <x v="15"/>
    <x v="2"/>
    <s v=" Large 1 Topping Pizza for $9.99  Carryout Only! "/>
    <n v="9.99"/>
    <x v="2"/>
  </r>
  <r>
    <x v="0"/>
    <x v="1"/>
    <x v="15"/>
    <x v="3"/>
    <s v=" Large 1 Topping Pizza for only 12.99, Delivery Only. "/>
    <n v="12.99"/>
    <x v="3"/>
  </r>
  <r>
    <x v="0"/>
    <x v="1"/>
    <x v="15"/>
    <x v="4"/>
    <s v=" Let us do the driving. Spend $45 or more and delivery is on us._x000a_ "/>
    <m/>
    <x v="0"/>
  </r>
  <r>
    <x v="0"/>
    <x v="1"/>
    <x v="15"/>
    <x v="6"/>
    <s v=" Epic Stuff Crust 1-Topping Pizza for ONLY $15.99 "/>
    <n v="15.99"/>
    <x v="5"/>
  </r>
  <r>
    <x v="0"/>
    <x v="1"/>
    <x v="15"/>
    <x v="7"/>
    <s v=" Any 10&quot; original crust specialty or up to 5-topping pizza ONLY $10 "/>
    <n v="10"/>
    <x v="6"/>
  </r>
  <r>
    <x v="0"/>
    <x v="1"/>
    <x v="15"/>
    <x v="19"/>
    <s v=" Large Specialty Pizza $15.99. Carryout ONLY "/>
    <n v="15.99"/>
    <x v="5"/>
  </r>
  <r>
    <x v="0"/>
    <x v="1"/>
    <x v="15"/>
    <x v="8"/>
    <s v=" Enjoy your favorite specialty or any 5-topping pizza on our large original or thin crust pizza "/>
    <n v="18.989999999999998"/>
    <x v="7"/>
  </r>
  <r>
    <x v="0"/>
    <x v="1"/>
    <x v="15"/>
    <x v="20"/>
    <s v=" Two Large Two Topping Pizzas "/>
    <n v="25.99"/>
    <x v="13"/>
  </r>
  <r>
    <x v="0"/>
    <x v="1"/>
    <x v="15"/>
    <x v="13"/>
    <s v=" New York Style 1-Topping Pizza "/>
    <n v="15.99"/>
    <x v="5"/>
  </r>
  <r>
    <x v="0"/>
    <x v="1"/>
    <x v="15"/>
    <x v="14"/>
    <s v=" Any large specialty or 5-topping pizza and a large 2-topping pizza "/>
    <n v="29.99"/>
    <x v="11"/>
  </r>
  <r>
    <x v="0"/>
    <x v="1"/>
    <x v="15"/>
    <x v="21"/>
    <s v=" 25% Off Your Entire Menu Price Order! "/>
    <m/>
    <x v="0"/>
  </r>
  <r>
    <x v="0"/>
    <x v="1"/>
    <x v="16"/>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6"/>
    <x v="1"/>
    <s v=" The possibilities are endless when you get you some Papa Pairings. Pair a Medium 1-topping Pizza with Boneless or Traditional Wings, Papadias, Breadsticks, Cheesesticks, Garlic Knots or Desserts for just $6.99 each. "/>
    <n v="6.99"/>
    <x v="1"/>
  </r>
  <r>
    <x v="0"/>
    <x v="1"/>
    <x v="16"/>
    <x v="2"/>
    <s v=" Large 1 Topping Pizza for $9.99  Carryout Only! "/>
    <n v="9.99"/>
    <x v="2"/>
  </r>
  <r>
    <x v="0"/>
    <x v="1"/>
    <x v="16"/>
    <x v="3"/>
    <s v=" Large 1 Topping Pizza for only 12.99, Delivery Only. "/>
    <n v="12.99"/>
    <x v="3"/>
  </r>
  <r>
    <x v="0"/>
    <x v="1"/>
    <x v="16"/>
    <x v="4"/>
    <s v=" Let us do the driving. Spend $45 or more and delivery is on us._x000a_ "/>
    <m/>
    <x v="0"/>
  </r>
  <r>
    <x v="0"/>
    <x v="1"/>
    <x v="16"/>
    <x v="6"/>
    <s v=" Epic Stuff Crust 1-Topping Pizza for ONLY $15.99 "/>
    <n v="15.99"/>
    <x v="5"/>
  </r>
  <r>
    <x v="0"/>
    <x v="1"/>
    <x v="16"/>
    <x v="7"/>
    <s v=" Any 10&quot; original crust specialty or up to 5-topping pizza ONLY $10 "/>
    <n v="10"/>
    <x v="6"/>
  </r>
  <r>
    <x v="0"/>
    <x v="1"/>
    <x v="16"/>
    <x v="19"/>
    <s v=" Large Specialty Pizza $15.99. Carryout ONLY "/>
    <n v="15.99"/>
    <x v="5"/>
  </r>
  <r>
    <x v="0"/>
    <x v="1"/>
    <x v="16"/>
    <x v="8"/>
    <s v=" Enjoy your favorite specialty or any 5-topping pizza on our large original or thin crust pizza "/>
    <n v="18.989999999999998"/>
    <x v="7"/>
  </r>
  <r>
    <x v="0"/>
    <x v="1"/>
    <x v="16"/>
    <x v="20"/>
    <s v=" Two Large Two Topping Pizzas "/>
    <n v="25.99"/>
    <x v="13"/>
  </r>
  <r>
    <x v="0"/>
    <x v="1"/>
    <x v="16"/>
    <x v="13"/>
    <s v=" New York Style 1-Topping Pizza "/>
    <n v="15.99"/>
    <x v="5"/>
  </r>
  <r>
    <x v="0"/>
    <x v="1"/>
    <x v="16"/>
    <x v="14"/>
    <s v=" Any large specialty or 5-topping pizza and a large 2-topping pizza "/>
    <n v="29.99"/>
    <x v="11"/>
  </r>
  <r>
    <x v="0"/>
    <x v="1"/>
    <x v="16"/>
    <x v="21"/>
    <s v=" 25% Off Your Entire Menu Price Order! "/>
    <m/>
    <x v="0"/>
  </r>
  <r>
    <x v="0"/>
    <x v="1"/>
    <x v="17"/>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7"/>
    <x v="1"/>
    <s v=" The possibilities are endless when you get you some Papa Pairings. Pair a Medium 1-topping Pizza with Boneless or Traditional Wings, Papadias, Breadsticks, Cheesesticks, Garlic Knots or Desserts for just $6.99 each. "/>
    <n v="6.99"/>
    <x v="1"/>
  </r>
  <r>
    <x v="0"/>
    <x v="1"/>
    <x v="17"/>
    <x v="2"/>
    <s v=" Large 1 Topping Pizza for $9.99  Carryout Only! "/>
    <n v="9.99"/>
    <x v="2"/>
  </r>
  <r>
    <x v="0"/>
    <x v="1"/>
    <x v="17"/>
    <x v="3"/>
    <s v=" Large 1 Topping Pizza for only 12.99, Delivery Only. "/>
    <n v="12.99"/>
    <x v="3"/>
  </r>
  <r>
    <x v="0"/>
    <x v="1"/>
    <x v="17"/>
    <x v="4"/>
    <s v=" Let us do the driving. Spend $45 or more and delivery is on us._x000a_ "/>
    <m/>
    <x v="0"/>
  </r>
  <r>
    <x v="0"/>
    <x v="1"/>
    <x v="17"/>
    <x v="6"/>
    <s v=" Epic Stuff Crust 1-Topping Pizza for ONLY $15.99 "/>
    <n v="15.99"/>
    <x v="5"/>
  </r>
  <r>
    <x v="0"/>
    <x v="1"/>
    <x v="17"/>
    <x v="7"/>
    <s v=" Any 10&quot; original crust specialty or up to 5-topping pizza ONLY $10 "/>
    <n v="10"/>
    <x v="6"/>
  </r>
  <r>
    <x v="0"/>
    <x v="1"/>
    <x v="17"/>
    <x v="19"/>
    <s v=" Large Specialty Pizza $15.99. Carryout ONLY "/>
    <n v="15.99"/>
    <x v="5"/>
  </r>
  <r>
    <x v="0"/>
    <x v="1"/>
    <x v="17"/>
    <x v="8"/>
    <s v=" Enjoy your favorite specialty or any 5-topping pizza on our large original or thin crust pizza "/>
    <n v="18.989999999999998"/>
    <x v="7"/>
  </r>
  <r>
    <x v="0"/>
    <x v="1"/>
    <x v="17"/>
    <x v="20"/>
    <s v=" Two Large Two Topping Pizzas "/>
    <n v="25.99"/>
    <x v="13"/>
  </r>
  <r>
    <x v="0"/>
    <x v="1"/>
    <x v="17"/>
    <x v="13"/>
    <s v=" New York Style 1-Topping Pizza "/>
    <n v="15.99"/>
    <x v="5"/>
  </r>
  <r>
    <x v="0"/>
    <x v="1"/>
    <x v="17"/>
    <x v="14"/>
    <s v=" Any large specialty or 5-topping pizza and a large 2-topping pizza "/>
    <n v="29.99"/>
    <x v="11"/>
  </r>
  <r>
    <x v="0"/>
    <x v="1"/>
    <x v="17"/>
    <x v="21"/>
    <s v=" 25% Off Your Entire Menu Price Order! "/>
    <m/>
    <x v="0"/>
  </r>
  <r>
    <x v="0"/>
    <x v="1"/>
    <x v="18"/>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8"/>
    <x v="1"/>
    <s v=" The possibilities are endless when you get you some Papa Pairings. Pair a Medium 1-topping Pizza with Boneless or Traditional Wings, Papadias, Breadsticks, Cheesesticks, Garlic Knots or Desserts for just $6.99 each. "/>
    <n v="6.99"/>
    <x v="1"/>
  </r>
  <r>
    <x v="0"/>
    <x v="1"/>
    <x v="18"/>
    <x v="2"/>
    <s v=" Large 1 Topping Pizza for $9.99  Carryout Only! "/>
    <n v="9.99"/>
    <x v="2"/>
  </r>
  <r>
    <x v="0"/>
    <x v="1"/>
    <x v="18"/>
    <x v="3"/>
    <s v=" Large 1 Topping Pizza for only 12.99, Delivery Only. "/>
    <n v="12.99"/>
    <x v="3"/>
  </r>
  <r>
    <x v="0"/>
    <x v="1"/>
    <x v="18"/>
    <x v="4"/>
    <s v=" Let us do the driving. Spend $45 or more and delivery is on us._x000a_ "/>
    <m/>
    <x v="0"/>
  </r>
  <r>
    <x v="0"/>
    <x v="1"/>
    <x v="18"/>
    <x v="6"/>
    <s v=" Epic Stuff Crust 1-Topping Pizza for ONLY $15.99 "/>
    <n v="15.99"/>
    <x v="5"/>
  </r>
  <r>
    <x v="0"/>
    <x v="1"/>
    <x v="18"/>
    <x v="7"/>
    <s v=" Any 10&quot; original crust specialty or up to 5-topping pizza ONLY $10 "/>
    <n v="10"/>
    <x v="6"/>
  </r>
  <r>
    <x v="0"/>
    <x v="1"/>
    <x v="18"/>
    <x v="19"/>
    <s v=" Large Specialty Pizza $15.99. Carryout ONLY "/>
    <n v="15.99"/>
    <x v="5"/>
  </r>
  <r>
    <x v="0"/>
    <x v="1"/>
    <x v="18"/>
    <x v="8"/>
    <s v=" Enjoy your favorite specialty or any 5-topping pizza on our large original or thin crust pizza "/>
    <n v="18.989999999999998"/>
    <x v="7"/>
  </r>
  <r>
    <x v="0"/>
    <x v="1"/>
    <x v="18"/>
    <x v="20"/>
    <s v=" Two Large Two Topping Pizzas "/>
    <n v="25.99"/>
    <x v="13"/>
  </r>
  <r>
    <x v="0"/>
    <x v="1"/>
    <x v="18"/>
    <x v="13"/>
    <s v=" New York Style 1-Topping Pizza "/>
    <n v="15.99"/>
    <x v="5"/>
  </r>
  <r>
    <x v="0"/>
    <x v="1"/>
    <x v="18"/>
    <x v="14"/>
    <s v=" Any large specialty or 5-topping pizza and a large 2-topping pizza "/>
    <n v="29.99"/>
    <x v="11"/>
  </r>
  <r>
    <x v="0"/>
    <x v="1"/>
    <x v="18"/>
    <x v="21"/>
    <s v=" 25% Off Your Entire Menu Price Order! "/>
    <m/>
    <x v="0"/>
  </r>
  <r>
    <x v="0"/>
    <x v="1"/>
    <x v="19"/>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19"/>
    <x v="1"/>
    <s v=" The possibilities are endless when you get you some Papa Pairings. Pair a Medium 1-topping Pizza with Boneless or Traditional Wings, Papadias, Breadsticks, Cheesesticks, Garlic Knots or Desserts for just $6.99 each. "/>
    <n v="6.99"/>
    <x v="1"/>
  </r>
  <r>
    <x v="0"/>
    <x v="1"/>
    <x v="19"/>
    <x v="2"/>
    <s v=" Large 1 Topping Pizza for $9.99  Carryout Only! "/>
    <n v="9.99"/>
    <x v="2"/>
  </r>
  <r>
    <x v="0"/>
    <x v="1"/>
    <x v="19"/>
    <x v="3"/>
    <s v=" Large 1 Topping Pizza for only 12.99, Delivery Only. "/>
    <n v="12.99"/>
    <x v="3"/>
  </r>
  <r>
    <x v="0"/>
    <x v="1"/>
    <x v="19"/>
    <x v="4"/>
    <s v=" Let us do the driving. Spend $45 or more and delivery is on us._x000a_ "/>
    <m/>
    <x v="0"/>
  </r>
  <r>
    <x v="0"/>
    <x v="1"/>
    <x v="19"/>
    <x v="6"/>
    <s v=" Epic Stuff Crust 1-Topping Pizza for ONLY $15.99 "/>
    <n v="15.99"/>
    <x v="5"/>
  </r>
  <r>
    <x v="0"/>
    <x v="1"/>
    <x v="19"/>
    <x v="7"/>
    <s v=" Any 10&quot; original crust specialty or up to 5-topping pizza ONLY $10 "/>
    <n v="10"/>
    <x v="6"/>
  </r>
  <r>
    <x v="0"/>
    <x v="1"/>
    <x v="19"/>
    <x v="19"/>
    <s v=" Large Specialty Pizza $15.99. Carryout ONLY "/>
    <n v="15.99"/>
    <x v="5"/>
  </r>
  <r>
    <x v="0"/>
    <x v="1"/>
    <x v="19"/>
    <x v="8"/>
    <s v=" Enjoy your favorite specialty or any 5-topping pizza on our large original or thin crust pizza "/>
    <n v="18.989999999999998"/>
    <x v="7"/>
  </r>
  <r>
    <x v="0"/>
    <x v="1"/>
    <x v="19"/>
    <x v="20"/>
    <s v=" Two Large Two Topping Pizzas "/>
    <n v="25.99"/>
    <x v="13"/>
  </r>
  <r>
    <x v="0"/>
    <x v="1"/>
    <x v="19"/>
    <x v="13"/>
    <s v=" New York Style 1-Topping Pizza "/>
    <n v="15.99"/>
    <x v="5"/>
  </r>
  <r>
    <x v="0"/>
    <x v="1"/>
    <x v="19"/>
    <x v="14"/>
    <s v=" Any large specialty or 5-topping pizza and a large 2-topping pizza "/>
    <n v="29.99"/>
    <x v="11"/>
  </r>
  <r>
    <x v="0"/>
    <x v="1"/>
    <x v="19"/>
    <x v="21"/>
    <s v=" 25% Off Your Entire Menu Price Order! "/>
    <m/>
    <x v="0"/>
  </r>
  <r>
    <x v="0"/>
    <x v="1"/>
    <x v="20"/>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0"/>
    <x v="1"/>
    <s v=" The possibilities are endless when you get you some Papa Pairings. Pair a Medium 1-topping Pizza with Boneless or Traditional Wings, Papadias, Breadsticks, Cheesesticks, Garlic Knots or Desserts for just $6.99 each. "/>
    <n v="6.99"/>
    <x v="1"/>
  </r>
  <r>
    <x v="0"/>
    <x v="1"/>
    <x v="20"/>
    <x v="2"/>
    <s v=" Large 1 Topping Pizza for $9.99  Carryout Only! "/>
    <n v="9.99"/>
    <x v="2"/>
  </r>
  <r>
    <x v="0"/>
    <x v="1"/>
    <x v="20"/>
    <x v="3"/>
    <s v=" Large 1 Topping Pizza for only 12.99, Delivery Only. "/>
    <n v="12.99"/>
    <x v="3"/>
  </r>
  <r>
    <x v="0"/>
    <x v="1"/>
    <x v="20"/>
    <x v="4"/>
    <s v=" Let us do the driving. Spend $45 or more and delivery is on us._x000a_ "/>
    <m/>
    <x v="0"/>
  </r>
  <r>
    <x v="0"/>
    <x v="1"/>
    <x v="20"/>
    <x v="6"/>
    <s v=" Epic Stuff Crust 1-Topping Pizza for ONLY $15.99 "/>
    <n v="15.99"/>
    <x v="5"/>
  </r>
  <r>
    <x v="0"/>
    <x v="1"/>
    <x v="20"/>
    <x v="7"/>
    <s v=" Any 10&quot; original crust specialty or up to 5-topping pizza ONLY $10 "/>
    <n v="10"/>
    <x v="6"/>
  </r>
  <r>
    <x v="0"/>
    <x v="1"/>
    <x v="20"/>
    <x v="19"/>
    <s v=" Large Specialty Pizza $15.99. Carryout ONLY "/>
    <n v="15.99"/>
    <x v="5"/>
  </r>
  <r>
    <x v="0"/>
    <x v="1"/>
    <x v="20"/>
    <x v="8"/>
    <s v=" Enjoy your favorite specialty or any 5-topping pizza on our large original or thin crust pizza "/>
    <n v="18.989999999999998"/>
    <x v="7"/>
  </r>
  <r>
    <x v="0"/>
    <x v="1"/>
    <x v="20"/>
    <x v="20"/>
    <s v=" Two Large Two Topping Pizzas "/>
    <n v="25.99"/>
    <x v="13"/>
  </r>
  <r>
    <x v="0"/>
    <x v="1"/>
    <x v="20"/>
    <x v="13"/>
    <s v=" New York Style 1-Topping Pizza "/>
    <n v="15.99"/>
    <x v="5"/>
  </r>
  <r>
    <x v="0"/>
    <x v="1"/>
    <x v="20"/>
    <x v="14"/>
    <s v=" Any large specialty or 5-topping pizza and a large 2-topping pizza "/>
    <n v="29.99"/>
    <x v="11"/>
  </r>
  <r>
    <x v="0"/>
    <x v="1"/>
    <x v="20"/>
    <x v="21"/>
    <s v=" 25% Off Your Entire Menu Price Order! "/>
    <m/>
    <x v="0"/>
  </r>
  <r>
    <x v="0"/>
    <x v="1"/>
    <x v="21"/>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1"/>
    <x v="1"/>
    <s v=" The possibilities are endless when you get you some Papa Pairings. Pair a Medium 1-topping Pizza with Boneless or Traditional Wings, Papadias, Breadsticks, Cheesesticks, Garlic Knots or Desserts for just $6.99 each. "/>
    <n v="6.99"/>
    <x v="1"/>
  </r>
  <r>
    <x v="0"/>
    <x v="1"/>
    <x v="21"/>
    <x v="2"/>
    <s v=" Large 1 Topping Pizza for $9.99  Carryout Only! "/>
    <n v="9.99"/>
    <x v="2"/>
  </r>
  <r>
    <x v="0"/>
    <x v="1"/>
    <x v="21"/>
    <x v="3"/>
    <s v=" Large 1 Topping Pizza for only 12.99, Delivery Only. "/>
    <n v="12.99"/>
    <x v="3"/>
  </r>
  <r>
    <x v="0"/>
    <x v="1"/>
    <x v="21"/>
    <x v="4"/>
    <s v=" Let us do the driving. Spend $45 or more and delivery is on us._x000a_ "/>
    <m/>
    <x v="0"/>
  </r>
  <r>
    <x v="0"/>
    <x v="1"/>
    <x v="21"/>
    <x v="6"/>
    <s v=" Epic Stuff Crust 1-Topping Pizza for ONLY $15.99 "/>
    <n v="15.99"/>
    <x v="5"/>
  </r>
  <r>
    <x v="0"/>
    <x v="1"/>
    <x v="21"/>
    <x v="7"/>
    <s v=" Any 10&quot; original crust specialty or up to 5-topping pizza ONLY $10 "/>
    <n v="10"/>
    <x v="6"/>
  </r>
  <r>
    <x v="0"/>
    <x v="1"/>
    <x v="21"/>
    <x v="19"/>
    <s v=" Large Specialty Pizza $15.99. Carryout ONLY "/>
    <n v="15.99"/>
    <x v="5"/>
  </r>
  <r>
    <x v="0"/>
    <x v="1"/>
    <x v="21"/>
    <x v="8"/>
    <s v=" Enjoy your favorite specialty or any 5-topping pizza on our large original or thin crust pizza "/>
    <n v="18.989999999999998"/>
    <x v="7"/>
  </r>
  <r>
    <x v="0"/>
    <x v="1"/>
    <x v="21"/>
    <x v="20"/>
    <s v=" Two Large Two Topping Pizzas "/>
    <n v="25.99"/>
    <x v="13"/>
  </r>
  <r>
    <x v="0"/>
    <x v="1"/>
    <x v="21"/>
    <x v="14"/>
    <s v=" Any large specialty or 5-topping pizza and a large 2-topping pizza "/>
    <n v="29.99"/>
    <x v="11"/>
  </r>
  <r>
    <x v="0"/>
    <x v="1"/>
    <x v="21"/>
    <x v="21"/>
    <s v=" 25% Off Your Entire Menu Price Order! "/>
    <m/>
    <x v="0"/>
  </r>
  <r>
    <x v="0"/>
    <x v="1"/>
    <x v="22"/>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2"/>
    <x v="1"/>
    <s v=" The possibilities are endless when you get you some Papa Pairings. Pair a Medium 1-topping Pizza with Boneless or Traditional Wings, Papadias, Breadsticks, Cheesesticks, Garlic Knots or Desserts for just $6.99 each. "/>
    <n v="6.99"/>
    <x v="1"/>
  </r>
  <r>
    <x v="0"/>
    <x v="1"/>
    <x v="22"/>
    <x v="2"/>
    <s v=" Large 1 Topping Pizza for $9.99  Carryout Only! "/>
    <n v="9.99"/>
    <x v="2"/>
  </r>
  <r>
    <x v="0"/>
    <x v="1"/>
    <x v="22"/>
    <x v="3"/>
    <s v=" Large 1 Topping Pizza for only 12.99, Delivery Only. "/>
    <n v="12.99"/>
    <x v="3"/>
  </r>
  <r>
    <x v="0"/>
    <x v="1"/>
    <x v="22"/>
    <x v="4"/>
    <s v=" Let us do the driving. Spend $45 or more and delivery is on us._x000a_ "/>
    <m/>
    <x v="0"/>
  </r>
  <r>
    <x v="0"/>
    <x v="1"/>
    <x v="22"/>
    <x v="6"/>
    <s v=" Epic Stuff Crust 1-Topping Pizza for ONLY $15.99 "/>
    <n v="15.99"/>
    <x v="5"/>
  </r>
  <r>
    <x v="0"/>
    <x v="1"/>
    <x v="22"/>
    <x v="7"/>
    <s v=" Any 10&quot; original crust specialty or up to 5-topping pizza ONLY $10 "/>
    <n v="10"/>
    <x v="6"/>
  </r>
  <r>
    <x v="0"/>
    <x v="1"/>
    <x v="22"/>
    <x v="19"/>
    <s v=" Large Specialty Pizza $15.99. Carryout ONLY "/>
    <n v="15.99"/>
    <x v="5"/>
  </r>
  <r>
    <x v="0"/>
    <x v="1"/>
    <x v="22"/>
    <x v="8"/>
    <s v=" Enjoy your favorite specialty or any 5-topping pizza on our large original or thin crust pizza "/>
    <n v="18.989999999999998"/>
    <x v="7"/>
  </r>
  <r>
    <x v="0"/>
    <x v="1"/>
    <x v="22"/>
    <x v="20"/>
    <s v=" Two Large Two Topping Pizzas "/>
    <n v="25.99"/>
    <x v="13"/>
  </r>
  <r>
    <x v="0"/>
    <x v="1"/>
    <x v="22"/>
    <x v="13"/>
    <s v=" New York Style 1-Topping Pizza "/>
    <n v="15.99"/>
    <x v="5"/>
  </r>
  <r>
    <x v="0"/>
    <x v="1"/>
    <x v="22"/>
    <x v="14"/>
    <s v=" Any large specialty or 5-topping pizza and a large 2-topping pizza "/>
    <n v="29.99"/>
    <x v="11"/>
  </r>
  <r>
    <x v="0"/>
    <x v="1"/>
    <x v="22"/>
    <x v="21"/>
    <s v=" 25% Off Your Entire Menu Price Order! "/>
    <m/>
    <x v="0"/>
  </r>
  <r>
    <x v="0"/>
    <x v="1"/>
    <x v="23"/>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3"/>
    <x v="1"/>
    <s v=" The possibilities are endless when you get you some Papa Pairings. Pair a Medium 1-topping Pizza with Boneless or Traditional Wings, Papadias, Breadsticks, Cheesesticks, Garlic Knots or Desserts for just $6.99 each. "/>
    <n v="6.99"/>
    <x v="1"/>
  </r>
  <r>
    <x v="0"/>
    <x v="1"/>
    <x v="23"/>
    <x v="2"/>
    <s v=" Large 1 Topping Pizza for $9.99  Carryout Only! "/>
    <n v="9.99"/>
    <x v="2"/>
  </r>
  <r>
    <x v="0"/>
    <x v="1"/>
    <x v="23"/>
    <x v="3"/>
    <s v=" Large 1 Topping Pizza for only 12.99, Delivery Only. "/>
    <n v="12.99"/>
    <x v="3"/>
  </r>
  <r>
    <x v="0"/>
    <x v="1"/>
    <x v="23"/>
    <x v="4"/>
    <s v=" Let us do the driving. Spend $45 or more and delivery is on us._x000a_ "/>
    <m/>
    <x v="0"/>
  </r>
  <r>
    <x v="0"/>
    <x v="1"/>
    <x v="23"/>
    <x v="6"/>
    <s v=" Epic Stuff Crust 1-Topping Pizza for ONLY $15.99 "/>
    <n v="15.99"/>
    <x v="5"/>
  </r>
  <r>
    <x v="0"/>
    <x v="1"/>
    <x v="23"/>
    <x v="7"/>
    <s v=" Any 10&quot; original crust specialty or up to 5-topping pizza ONLY $10 "/>
    <n v="10"/>
    <x v="6"/>
  </r>
  <r>
    <x v="0"/>
    <x v="1"/>
    <x v="23"/>
    <x v="19"/>
    <s v=" Large Specialty Pizza $15.99. Carryout ONLY "/>
    <n v="15.99"/>
    <x v="5"/>
  </r>
  <r>
    <x v="0"/>
    <x v="1"/>
    <x v="23"/>
    <x v="8"/>
    <s v=" Enjoy your favorite specialty or any 5-topping pizza on our large original or thin crust pizza "/>
    <n v="18.989999999999998"/>
    <x v="7"/>
  </r>
  <r>
    <x v="0"/>
    <x v="1"/>
    <x v="23"/>
    <x v="20"/>
    <s v=" Two Large Two Topping Pizzas "/>
    <n v="25.99"/>
    <x v="13"/>
  </r>
  <r>
    <x v="0"/>
    <x v="1"/>
    <x v="23"/>
    <x v="13"/>
    <s v=" New York Style 1-Topping Pizza "/>
    <n v="15.99"/>
    <x v="5"/>
  </r>
  <r>
    <x v="0"/>
    <x v="1"/>
    <x v="23"/>
    <x v="14"/>
    <s v=" Any large specialty or 5-topping pizza and a large 2-topping pizza "/>
    <n v="29.99"/>
    <x v="11"/>
  </r>
  <r>
    <x v="0"/>
    <x v="1"/>
    <x v="23"/>
    <x v="21"/>
    <s v=" 25% Off Your Entire Menu Price Order! "/>
    <m/>
    <x v="0"/>
  </r>
  <r>
    <x v="0"/>
    <x v="1"/>
    <x v="24"/>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4"/>
    <x v="1"/>
    <s v=" The possibilities are endless when you get you some Papa Pairings. Pair a Medium 1-topping Pizza with Boneless or Traditional Wings, Papadias, Breadsticks, Cheesesticks, Garlic Knots or Desserts for just $6.99 each. "/>
    <n v="6.99"/>
    <x v="1"/>
  </r>
  <r>
    <x v="0"/>
    <x v="1"/>
    <x v="24"/>
    <x v="2"/>
    <s v=" Large 1 Topping Pizza for $9.99  Carryout Only! "/>
    <n v="9.99"/>
    <x v="2"/>
  </r>
  <r>
    <x v="0"/>
    <x v="1"/>
    <x v="24"/>
    <x v="3"/>
    <s v=" Large 1 Topping Pizza for only 12.99, Delivery Only. "/>
    <n v="12.99"/>
    <x v="3"/>
  </r>
  <r>
    <x v="0"/>
    <x v="1"/>
    <x v="24"/>
    <x v="4"/>
    <s v=" Let us do the driving. Spend $45 or more and delivery is on us._x000a_ "/>
    <m/>
    <x v="0"/>
  </r>
  <r>
    <x v="0"/>
    <x v="1"/>
    <x v="24"/>
    <x v="6"/>
    <s v=" Epic Stuff Crust 1-Topping Pizza for ONLY $15.99 "/>
    <n v="15.99"/>
    <x v="5"/>
  </r>
  <r>
    <x v="0"/>
    <x v="1"/>
    <x v="24"/>
    <x v="7"/>
    <s v=" Any 10&quot; original crust specialty or up to 5-topping pizza ONLY $10 "/>
    <n v="10"/>
    <x v="6"/>
  </r>
  <r>
    <x v="0"/>
    <x v="1"/>
    <x v="24"/>
    <x v="19"/>
    <s v=" Large Specialty Pizza $15.99. Carryout ONLY "/>
    <n v="15.99"/>
    <x v="5"/>
  </r>
  <r>
    <x v="0"/>
    <x v="1"/>
    <x v="24"/>
    <x v="22"/>
    <s v=" Any Large Specialty or up to 5-topping Pizza "/>
    <n v="16.989999999999998"/>
    <x v="14"/>
  </r>
  <r>
    <x v="0"/>
    <x v="1"/>
    <x v="24"/>
    <x v="20"/>
    <s v=" Two Large Two Topping Pizzas "/>
    <n v="25.99"/>
    <x v="13"/>
  </r>
  <r>
    <x v="0"/>
    <x v="1"/>
    <x v="24"/>
    <x v="13"/>
    <s v=" New York Style 1-Topping Pizza "/>
    <n v="15.99"/>
    <x v="5"/>
  </r>
  <r>
    <x v="0"/>
    <x v="1"/>
    <x v="24"/>
    <x v="14"/>
    <s v=" Any large specialty or 5-topping pizza and a large 2-topping pizza "/>
    <n v="29.99"/>
    <x v="11"/>
  </r>
  <r>
    <x v="0"/>
    <x v="1"/>
    <x v="24"/>
    <x v="21"/>
    <s v=" 25% Off Your Entire Menu Price Order! "/>
    <m/>
    <x v="0"/>
  </r>
  <r>
    <x v="0"/>
    <x v="1"/>
    <x v="25"/>
    <x v="0"/>
    <s v="Better get you that crispy, curly, cuppy pepperoni on top of an XL New York Style crust pizza, in the savory, pillowy pockets of our Papa Bites, or folded in our Papadia for a handheld flatbread-style sandwich. Get down with this cupped up 'roni for a limited time only."/>
    <m/>
    <x v="0"/>
  </r>
  <r>
    <x v="0"/>
    <x v="1"/>
    <x v="25"/>
    <x v="1"/>
    <s v=" The possibilities are endless when you get you some Papa Pairings. Pair a Medium 1-topping Pizza with Boneless or Traditional Wings, Papadias, Breadsticks, Cheesesticks, Garlic Knots or Desserts for just $6.99 each. "/>
    <n v="6.99"/>
    <x v="1"/>
  </r>
  <r>
    <x v="0"/>
    <x v="1"/>
    <x v="25"/>
    <x v="2"/>
    <s v=" Large 1 Topping Pizza for $9.99  Carryout Only! "/>
    <n v="9.99"/>
    <x v="2"/>
  </r>
  <r>
    <x v="0"/>
    <x v="1"/>
    <x v="25"/>
    <x v="3"/>
    <s v=" Large 1 Topping Pizza for only 12.99, Delivery Only. "/>
    <n v="12.99"/>
    <x v="3"/>
  </r>
  <r>
    <x v="0"/>
    <x v="1"/>
    <x v="25"/>
    <x v="4"/>
    <s v=" Let us do the driving. Spend $45 or more and delivery is on us._x000a_ "/>
    <m/>
    <x v="0"/>
  </r>
  <r>
    <x v="0"/>
    <x v="1"/>
    <x v="25"/>
    <x v="6"/>
    <s v=" Epic Stuff Crust 1-Topping Pizza for ONLY $15.99 "/>
    <n v="15.99"/>
    <x v="5"/>
  </r>
  <r>
    <x v="0"/>
    <x v="1"/>
    <x v="25"/>
    <x v="7"/>
    <s v=" Any 10&quot; original crust specialty or up to 5-topping pizza ONLY $10 "/>
    <n v="10"/>
    <x v="6"/>
  </r>
  <r>
    <x v="0"/>
    <x v="1"/>
    <x v="25"/>
    <x v="19"/>
    <s v=" Large Specialty Pizza $15.99. Carryout ONLY "/>
    <n v="15.99"/>
    <x v="5"/>
  </r>
  <r>
    <x v="0"/>
    <x v="1"/>
    <x v="25"/>
    <x v="8"/>
    <s v=" Enjoy your favorite specialty or any 5-topping pizza on our large original or thin crust pizza "/>
    <n v="18.989999999999998"/>
    <x v="7"/>
  </r>
  <r>
    <x v="0"/>
    <x v="1"/>
    <x v="25"/>
    <x v="20"/>
    <s v=" Two Large Two Topping Pizzas "/>
    <n v="25.99"/>
    <x v="13"/>
  </r>
  <r>
    <x v="0"/>
    <x v="1"/>
    <x v="25"/>
    <x v="13"/>
    <s v=" New York Style 1-Topping Pizza "/>
    <n v="15.99"/>
    <x v="5"/>
  </r>
  <r>
    <x v="0"/>
    <x v="1"/>
    <x v="25"/>
    <x v="14"/>
    <s v=" Any large specialty or 5-topping pizza and a large 2-topping pizza "/>
    <n v="29.99"/>
    <x v="11"/>
  </r>
  <r>
    <x v="0"/>
    <x v="1"/>
    <x v="25"/>
    <x v="21"/>
    <s v=" 25% Off Your Entire Menu Price Order! "/>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7DE9C-2A6E-410E-B454-68A11C1BB1D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5:X32" firstHeaderRow="1" firstDataRow="2" firstDataCol="1" rowPageCount="3" colPageCount="1"/>
  <pivotFields count="7">
    <pivotField axis="axisPage" showAll="0">
      <items count="2">
        <item x="0"/>
        <item t="default"/>
      </items>
    </pivotField>
    <pivotField axis="axisPage" showAll="0">
      <items count="3">
        <item x="0"/>
        <item x="1"/>
        <item t="default"/>
      </items>
    </pivotField>
    <pivotField axis="axisRow" showAll="0" sortType="ascending">
      <items count="27">
        <item x="0"/>
        <item x="1"/>
        <item x="2"/>
        <item x="3"/>
        <item x="12"/>
        <item x="4"/>
        <item x="5"/>
        <item x="22"/>
        <item x="13"/>
        <item x="6"/>
        <item x="14"/>
        <item x="7"/>
        <item x="8"/>
        <item x="15"/>
        <item x="23"/>
        <item x="16"/>
        <item x="17"/>
        <item x="9"/>
        <item x="18"/>
        <item x="24"/>
        <item x="25"/>
        <item x="10"/>
        <item x="19"/>
        <item x="11"/>
        <item x="20"/>
        <item x="21"/>
        <item t="default"/>
      </items>
    </pivotField>
    <pivotField axis="axisCol" showAll="0" sortType="ascending">
      <items count="24">
        <item x="1"/>
        <item x="2"/>
        <item x="3"/>
        <item x="6"/>
        <item x="7"/>
        <item x="19"/>
        <item x="8"/>
        <item x="20"/>
        <item x="13"/>
        <item x="14"/>
        <item x="21"/>
        <item x="5"/>
        <item x="9"/>
        <item x="10"/>
        <item x="11"/>
        <item x="12"/>
        <item x="15"/>
        <item x="16"/>
        <item x="17"/>
        <item x="18"/>
        <item x="0"/>
        <item x="4"/>
        <item x="22"/>
        <item t="default"/>
      </items>
      <autoSortScope>
        <pivotArea dataOnly="0" outline="0" fieldPosition="0">
          <references count="1">
            <reference field="4294967294" count="1" selected="0">
              <x v="0"/>
            </reference>
          </references>
        </pivotArea>
      </autoSortScope>
    </pivotField>
    <pivotField showAll="0"/>
    <pivotField dataField="1" showAll="0"/>
    <pivotField axis="axisPage" multipleItemSelectionAllowed="1" showAll="0">
      <items count="16">
        <item x="1"/>
        <item x="2"/>
        <item x="8"/>
        <item x="3"/>
        <item x="5"/>
        <item x="6"/>
        <item x="7"/>
        <item x="13"/>
        <item x="11"/>
        <item x="4"/>
        <item x="9"/>
        <item x="10"/>
        <item x="12"/>
        <item x="0"/>
        <item x="14"/>
        <item t="default"/>
      </items>
    </pivotField>
  </pivotFields>
  <rowFields count="1">
    <field x="2"/>
  </rowFields>
  <rowItems count="26">
    <i>
      <x/>
    </i>
    <i>
      <x v="1"/>
    </i>
    <i>
      <x v="2"/>
    </i>
    <i>
      <x v="3"/>
    </i>
    <i>
      <x v="4"/>
    </i>
    <i>
      <x v="5"/>
    </i>
    <i>
      <x v="6"/>
    </i>
    <i>
      <x v="7"/>
    </i>
    <i>
      <x v="8"/>
    </i>
    <i>
      <x v="9"/>
    </i>
    <i>
      <x v="10"/>
    </i>
    <i>
      <x v="11"/>
    </i>
    <i>
      <x v="12"/>
    </i>
    <i>
      <x v="13"/>
    </i>
    <i>
      <x v="14"/>
    </i>
    <i>
      <x v="15"/>
    </i>
    <i>
      <x v="16"/>
    </i>
    <i>
      <x v="17"/>
    </i>
    <i>
      <x v="18"/>
    </i>
    <i>
      <x v="19"/>
    </i>
    <i>
      <x v="20"/>
    </i>
    <i>
      <x v="21"/>
    </i>
    <i>
      <x v="22"/>
    </i>
    <i>
      <x v="23"/>
    </i>
    <i>
      <x v="24"/>
    </i>
    <i>
      <x v="25"/>
    </i>
  </rowItems>
  <colFields count="1">
    <field x="3"/>
  </colFields>
  <colItems count="23">
    <i>
      <x v="10"/>
    </i>
    <i>
      <x v="20"/>
    </i>
    <i>
      <x v="21"/>
    </i>
    <i>
      <x v="22"/>
    </i>
    <i>
      <x v="17"/>
    </i>
    <i>
      <x v="18"/>
    </i>
    <i>
      <x v="19"/>
    </i>
    <i>
      <x v="12"/>
    </i>
    <i>
      <x v="11"/>
    </i>
    <i>
      <x v="13"/>
    </i>
    <i>
      <x/>
    </i>
    <i>
      <x v="16"/>
    </i>
    <i>
      <x v="14"/>
    </i>
    <i>
      <x v="5"/>
    </i>
    <i>
      <x v="15"/>
    </i>
    <i>
      <x v="1"/>
    </i>
    <i>
      <x v="4"/>
    </i>
    <i>
      <x v="2"/>
    </i>
    <i>
      <x v="7"/>
    </i>
    <i>
      <x v="8"/>
    </i>
    <i>
      <x v="3"/>
    </i>
    <i>
      <x v="6"/>
    </i>
    <i>
      <x v="9"/>
    </i>
  </colItems>
  <pageFields count="3">
    <pageField fld="0" hier="-1"/>
    <pageField fld="1" hier="-1"/>
    <pageField fld="6" hier="-1"/>
  </pageFields>
  <dataFields count="1">
    <dataField name="Sum of price" fld="5" baseField="0" baseItem="0"/>
  </dataFields>
  <formats count="1">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B22674F-1C29-4B95-AD8A-305098160102}" autoFormatId="16" applyNumberFormats="0" applyBorderFormats="0" applyFontFormats="0" applyPatternFormats="0" applyAlignmentFormats="0" applyWidthHeightFormats="0">
  <queryTableRefresh nextId="8">
    <queryTableFields count="7">
      <queryTableField id="1" name="Source.Name" tableColumnId="1"/>
      <queryTableField id="2" name="DO or Franchise Name  " tableColumnId="2"/>
      <queryTableField id="3" dataBound="0" tableColumnId="3"/>
      <queryTableField id="4" dataBound="0" tableColumnId="4"/>
      <queryTableField id="5" dataBound="0" tableColumnId="5"/>
      <queryTableField id="6" dataBound="0" tableColumnId="6"/>
      <queryTableField id="7" name="price sort" tableColumnId="7"/>
    </queryTableFields>
    <queryTableDeletedFields count="4">
      <deletedField name="store"/>
      <deletedField name="offer"/>
      <deletedField name="description"/>
      <deletedField name="price"/>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2B6EC6-E6B7-42F4-91B5-9E5EEF47B37F}" name="Export" displayName="Export" ref="A1:G414" tableType="queryTable" totalsRowShown="0" headerRowDxfId="9" dataDxfId="8">
  <autoFilter ref="A1:G414" xr:uid="{362B6EC6-E6B7-42F4-91B5-9E5EEF47B37F}">
    <filterColumn colId="2">
      <filters>
        <filter val="2236"/>
      </filters>
    </filterColumn>
  </autoFilter>
  <tableColumns count="7">
    <tableColumn id="1" xr3:uid="{276F8AAD-2C59-4E6E-8B1C-BE668B204EA1}" uniqueName="1" name="Source.Name" queryTableFieldId="1" dataDxfId="7"/>
    <tableColumn id="2" xr3:uid="{6F5F0993-CACA-4317-AED2-6A31940E6DA5}" uniqueName="2" name="DO or Franchise Name  " queryTableFieldId="2" dataDxfId="6"/>
    <tableColumn id="3" xr3:uid="{DA153C44-7C61-44FA-96F7-F7FD3C653B2D}" uniqueName="3" name="store" queryTableFieldId="3" dataDxfId="5"/>
    <tableColumn id="4" xr3:uid="{10B486F1-2147-4B0A-B95D-2BC68CC4074D}" uniqueName="4" name="offer" queryTableFieldId="4" dataDxfId="4"/>
    <tableColumn id="5" xr3:uid="{F9541BC5-B793-4505-8A14-0340E98CCF77}" uniqueName="5" name="description" queryTableFieldId="5" dataDxfId="3"/>
    <tableColumn id="6" xr3:uid="{71145E55-424A-415E-87D8-C5519652D8CF}" uniqueName="6" name="price" queryTableFieldId="6" dataDxfId="2"/>
    <tableColumn id="7" xr3:uid="{0ED7A391-C257-4243-A9CC-B82AB7557CCC}" uniqueName="7" name="price sort" queryTableFieldId="7" dataDxfId="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A42F67-B701-4266-A24D-33E359DB9D77}" name="Table2" displayName="Table2" ref="A1:B27" totalsRowShown="0">
  <autoFilter ref="A1:B27" xr:uid="{A0A42F67-B701-4266-A24D-33E359DB9D77}"/>
  <tableColumns count="2">
    <tableColumn id="1" xr3:uid="{041E53D9-DF5D-4F5F-9123-1DFD00F04C50}" name="store #"/>
    <tableColumn id="2" xr3:uid="{DEE18376-C713-4F8E-B074-F542762AB832}" name="Franchis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A48D-3D5E-43E3-96DC-FDFEFCCD4D63}">
  <sheetPr codeName="Sheet7"/>
  <dimension ref="A1"/>
  <sheetViews>
    <sheetView workbookViewId="0">
      <selection activeCell="G16" sqref="G16"/>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fresh_pivot_table">
                <anchor moveWithCells="1" sizeWithCells="1">
                  <from>
                    <xdr:col>1</xdr:col>
                    <xdr:colOff>142875</xdr:colOff>
                    <xdr:row>1</xdr:row>
                    <xdr:rowOff>76200</xdr:rowOff>
                  </from>
                  <to>
                    <xdr:col>4</xdr:col>
                    <xdr:colOff>266700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72773-ECDB-439F-809C-EAC03E53128A}">
  <sheetPr codeName="Sheet1"/>
  <dimension ref="A1:X32"/>
  <sheetViews>
    <sheetView tabSelected="1" zoomScaleNormal="100" workbookViewId="0">
      <pane xSplit="1" topLeftCell="B1" activePane="topRight" state="frozen"/>
      <selection pane="topRight" activeCell="B32" sqref="B32"/>
    </sheetView>
  </sheetViews>
  <sheetFormatPr defaultRowHeight="15" x14ac:dyDescent="0.25"/>
  <cols>
    <col min="1" max="1" width="21.85546875" bestFit="1" customWidth="1"/>
    <col min="2" max="2" width="26.140625" bestFit="1" customWidth="1"/>
    <col min="3" max="3" width="57.5703125" bestFit="1" customWidth="1"/>
    <col min="4" max="4" width="12.85546875" bestFit="1" customWidth="1"/>
    <col min="5" max="5" width="27.5703125" bestFit="1" customWidth="1"/>
    <col min="6" max="6" width="134.28515625" bestFit="1" customWidth="1"/>
    <col min="7" max="7" width="38.28515625" bestFit="1" customWidth="1"/>
    <col min="8" max="8" width="18.42578125" bestFit="1" customWidth="1"/>
    <col min="9" max="9" width="10.28515625" bestFit="1" customWidth="1"/>
    <col min="10" max="10" width="40.5703125" bestFit="1" customWidth="1"/>
    <col min="11" max="11" width="33.42578125" bestFit="1" customWidth="1"/>
    <col min="12" max="12" width="12.7109375" bestFit="1" customWidth="1"/>
    <col min="13" max="13" width="28.7109375" bestFit="1" customWidth="1"/>
    <col min="14" max="14" width="25.28515625" bestFit="1" customWidth="1"/>
    <col min="15" max="15" width="33.85546875" bestFit="1" customWidth="1"/>
    <col min="16" max="16" width="22.5703125" bestFit="1" customWidth="1"/>
    <col min="17" max="17" width="42.42578125" bestFit="1" customWidth="1"/>
    <col min="18" max="18" width="16" bestFit="1" customWidth="1"/>
    <col min="19" max="19" width="20.140625" bestFit="1" customWidth="1"/>
    <col min="20" max="20" width="14.140625" bestFit="1" customWidth="1"/>
    <col min="21" max="21" width="23.28515625" bestFit="1" customWidth="1"/>
    <col min="22" max="22" width="31.42578125" bestFit="1" customWidth="1"/>
    <col min="23" max="23" width="42.5703125" bestFit="1" customWidth="1"/>
    <col min="24" max="25" width="13.7109375" bestFit="1" customWidth="1"/>
    <col min="26" max="26" width="44.7109375" bestFit="1" customWidth="1"/>
    <col min="27" max="27" width="23.85546875" bestFit="1" customWidth="1"/>
    <col min="28" max="28" width="17.7109375" bestFit="1" customWidth="1"/>
    <col min="29" max="29" width="13.140625" bestFit="1" customWidth="1"/>
    <col min="30" max="30" width="17.28515625" bestFit="1" customWidth="1"/>
    <col min="31" max="31" width="18.85546875" bestFit="1" customWidth="1"/>
    <col min="32" max="32" width="15.7109375" bestFit="1" customWidth="1"/>
    <col min="33" max="33" width="20.140625" bestFit="1" customWidth="1"/>
    <col min="34" max="34" width="19.140625" bestFit="1" customWidth="1"/>
    <col min="35" max="35" width="12.85546875" bestFit="1" customWidth="1"/>
    <col min="36" max="36" width="15.7109375" bestFit="1" customWidth="1"/>
    <col min="37" max="37" width="24" bestFit="1" customWidth="1"/>
    <col min="38" max="38" width="20.5703125" bestFit="1" customWidth="1"/>
    <col min="39" max="39" width="23.7109375" bestFit="1" customWidth="1"/>
    <col min="40" max="40" width="14.85546875" bestFit="1" customWidth="1"/>
    <col min="41" max="41" width="18.85546875" bestFit="1" customWidth="1"/>
    <col min="42" max="42" width="12.28515625" bestFit="1" customWidth="1"/>
    <col min="43" max="43" width="17.85546875" bestFit="1" customWidth="1"/>
    <col min="44" max="44" width="18.28515625" bestFit="1" customWidth="1"/>
    <col min="45" max="45" width="15.140625" bestFit="1" customWidth="1"/>
    <col min="46" max="46" width="15.28515625" bestFit="1" customWidth="1"/>
    <col min="47" max="47" width="10.42578125" bestFit="1" customWidth="1"/>
    <col min="48" max="48" width="14.28515625" bestFit="1" customWidth="1"/>
    <col min="49" max="49" width="25.7109375" bestFit="1" customWidth="1"/>
    <col min="50" max="50" width="22.5703125" bestFit="1" customWidth="1"/>
    <col min="51" max="51" width="16" bestFit="1" customWidth="1"/>
    <col min="52" max="52" width="19.7109375" bestFit="1" customWidth="1"/>
    <col min="53" max="53" width="12.7109375" bestFit="1" customWidth="1"/>
    <col min="54" max="54" width="17.85546875" bestFit="1" customWidth="1"/>
    <col min="55" max="55" width="9.28515625" bestFit="1" customWidth="1"/>
  </cols>
  <sheetData>
    <row r="1" spans="1:24" x14ac:dyDescent="0.25">
      <c r="A1" s="9" t="s">
        <v>0</v>
      </c>
      <c r="B1" s="10" t="s">
        <v>7</v>
      </c>
      <c r="C1" s="8" t="s">
        <v>12</v>
      </c>
      <c r="E1" s="1" t="s">
        <v>13</v>
      </c>
      <c r="F1" s="2" t="str">
        <f>Reference!F4</f>
        <v>1740, 1743, 2172, 2174, 2208, 2236, 2272, 2306, 2325, 2457, 2478, 2549, 2603, 2612, 2618, 2687, 2921, 2953, 3015, 3130, 3479, 3498, 4405, 4778, 5293, 5296</v>
      </c>
    </row>
    <row r="2" spans="1:24" x14ac:dyDescent="0.25">
      <c r="A2" s="9" t="s">
        <v>1</v>
      </c>
      <c r="B2" s="10" t="s">
        <v>7</v>
      </c>
      <c r="C2" s="8" t="s">
        <v>12</v>
      </c>
      <c r="E2" s="1" t="s">
        <v>16</v>
      </c>
      <c r="F2" s="1" t="str">
        <f>Reference!F5</f>
        <v>None</v>
      </c>
    </row>
    <row r="3" spans="1:24" x14ac:dyDescent="0.25">
      <c r="A3" s="9" t="s">
        <v>11</v>
      </c>
      <c r="B3" s="10" t="s">
        <v>7</v>
      </c>
    </row>
    <row r="5" spans="1:24" x14ac:dyDescent="0.25">
      <c r="A5" s="9" t="s">
        <v>10</v>
      </c>
      <c r="B5" s="9" t="s">
        <v>9</v>
      </c>
      <c r="C5" s="10"/>
      <c r="D5" s="10"/>
      <c r="E5" s="10"/>
      <c r="F5" s="10"/>
      <c r="G5" s="10"/>
      <c r="H5" s="10"/>
      <c r="I5" s="10"/>
      <c r="J5" s="10"/>
      <c r="K5" s="10"/>
      <c r="L5" s="10"/>
      <c r="M5" s="10"/>
      <c r="N5" s="10"/>
      <c r="O5" s="10"/>
      <c r="P5" s="10"/>
      <c r="Q5" s="10"/>
      <c r="R5" s="10"/>
      <c r="S5" s="10"/>
      <c r="T5" s="10"/>
      <c r="U5" s="10"/>
      <c r="V5" s="10"/>
      <c r="W5" s="10"/>
      <c r="X5" s="10"/>
    </row>
    <row r="6" spans="1:24" x14ac:dyDescent="0.25">
      <c r="A6" s="9" t="s">
        <v>8</v>
      </c>
      <c r="B6" s="10" t="s">
        <v>74</v>
      </c>
      <c r="C6" s="10" t="s">
        <v>60</v>
      </c>
      <c r="D6" s="10" t="s">
        <v>62</v>
      </c>
      <c r="E6" s="10" t="s">
        <v>64</v>
      </c>
      <c r="F6" s="10" t="s">
        <v>46</v>
      </c>
      <c r="G6" s="10" t="s">
        <v>48</v>
      </c>
      <c r="H6" s="10" t="s">
        <v>50</v>
      </c>
      <c r="I6" s="10" t="s">
        <v>75</v>
      </c>
      <c r="J6" s="10" t="s">
        <v>35</v>
      </c>
      <c r="K6" s="10" t="s">
        <v>38</v>
      </c>
      <c r="L6" s="10" t="s">
        <v>6</v>
      </c>
      <c r="M6" s="10" t="s">
        <v>44</v>
      </c>
      <c r="N6" s="10" t="s">
        <v>40</v>
      </c>
      <c r="O6" s="10" t="s">
        <v>25</v>
      </c>
      <c r="P6" s="10" t="s">
        <v>42</v>
      </c>
      <c r="Q6" s="10" t="s">
        <v>17</v>
      </c>
      <c r="R6" s="10" t="s">
        <v>23</v>
      </c>
      <c r="S6" s="10" t="s">
        <v>19</v>
      </c>
      <c r="T6" s="10" t="s">
        <v>29</v>
      </c>
      <c r="U6" s="10" t="s">
        <v>31</v>
      </c>
      <c r="V6" s="10" t="s">
        <v>21</v>
      </c>
      <c r="W6" s="10" t="s">
        <v>27</v>
      </c>
      <c r="X6" s="10" t="s">
        <v>33</v>
      </c>
    </row>
    <row r="7" spans="1:24" x14ac:dyDescent="0.25">
      <c r="A7" s="11">
        <v>1740</v>
      </c>
      <c r="B7" s="12"/>
      <c r="C7" s="12"/>
      <c r="D7" s="12"/>
      <c r="E7" s="12"/>
      <c r="F7" s="12"/>
      <c r="G7" s="12"/>
      <c r="H7" s="12"/>
      <c r="I7" s="12">
        <v>9.99</v>
      </c>
      <c r="J7" s="12">
        <v>14.99</v>
      </c>
      <c r="K7" s="12">
        <v>13.99</v>
      </c>
      <c r="L7" s="12">
        <v>6.99</v>
      </c>
      <c r="M7" s="12">
        <v>20.99</v>
      </c>
      <c r="N7" s="12">
        <v>17.989999999999998</v>
      </c>
      <c r="O7" s="12"/>
      <c r="P7" s="12">
        <v>25.98</v>
      </c>
      <c r="Q7" s="12">
        <v>9.99</v>
      </c>
      <c r="R7" s="12">
        <v>10</v>
      </c>
      <c r="S7" s="12">
        <v>12.99</v>
      </c>
      <c r="T7" s="12"/>
      <c r="U7" s="12">
        <v>15.99</v>
      </c>
      <c r="V7" s="12">
        <v>15.99</v>
      </c>
      <c r="W7" s="12">
        <v>18.989999999999998</v>
      </c>
      <c r="X7" s="12">
        <v>29.99</v>
      </c>
    </row>
    <row r="8" spans="1:24" x14ac:dyDescent="0.25">
      <c r="A8" s="11">
        <v>1743</v>
      </c>
      <c r="B8" s="12"/>
      <c r="C8" s="12"/>
      <c r="D8" s="12"/>
      <c r="E8" s="12"/>
      <c r="F8" s="12"/>
      <c r="G8" s="12"/>
      <c r="H8" s="12"/>
      <c r="I8" s="12">
        <v>9.99</v>
      </c>
      <c r="J8" s="12">
        <v>14.99</v>
      </c>
      <c r="K8" s="12">
        <v>13.99</v>
      </c>
      <c r="L8" s="12">
        <v>6.99</v>
      </c>
      <c r="M8" s="12">
        <v>20.99</v>
      </c>
      <c r="N8" s="12">
        <v>17.989999999999998</v>
      </c>
      <c r="O8" s="12"/>
      <c r="P8" s="12">
        <v>25.98</v>
      </c>
      <c r="Q8" s="12">
        <v>9.99</v>
      </c>
      <c r="R8" s="12">
        <v>10</v>
      </c>
      <c r="S8" s="12">
        <v>12.99</v>
      </c>
      <c r="T8" s="12"/>
      <c r="U8" s="12">
        <v>15.99</v>
      </c>
      <c r="V8" s="12">
        <v>15.99</v>
      </c>
      <c r="W8" s="12">
        <v>18.989999999999998</v>
      </c>
      <c r="X8" s="12">
        <v>29.99</v>
      </c>
    </row>
    <row r="9" spans="1:24" x14ac:dyDescent="0.25">
      <c r="A9" s="11">
        <v>2172</v>
      </c>
      <c r="B9" s="12"/>
      <c r="C9" s="12"/>
      <c r="D9" s="12"/>
      <c r="E9" s="12"/>
      <c r="F9" s="12"/>
      <c r="G9" s="12"/>
      <c r="H9" s="12"/>
      <c r="I9" s="12">
        <v>9.99</v>
      </c>
      <c r="J9" s="12">
        <v>14.99</v>
      </c>
      <c r="K9" s="12">
        <v>13.99</v>
      </c>
      <c r="L9" s="12">
        <v>6.99</v>
      </c>
      <c r="M9" s="12">
        <v>20.99</v>
      </c>
      <c r="N9" s="12">
        <v>17.989999999999998</v>
      </c>
      <c r="O9" s="12"/>
      <c r="P9" s="12">
        <v>25.98</v>
      </c>
      <c r="Q9" s="12">
        <v>9.99</v>
      </c>
      <c r="R9" s="12">
        <v>10</v>
      </c>
      <c r="S9" s="12">
        <v>12.99</v>
      </c>
      <c r="T9" s="12"/>
      <c r="U9" s="12">
        <v>15.99</v>
      </c>
      <c r="V9" s="12">
        <v>15.99</v>
      </c>
      <c r="W9" s="12">
        <v>18.989999999999998</v>
      </c>
      <c r="X9" s="12">
        <v>29.99</v>
      </c>
    </row>
    <row r="10" spans="1:24" x14ac:dyDescent="0.25">
      <c r="A10" s="11">
        <v>2174</v>
      </c>
      <c r="B10" s="12"/>
      <c r="C10" s="12"/>
      <c r="D10" s="12"/>
      <c r="E10" s="12"/>
      <c r="F10" s="12"/>
      <c r="G10" s="12"/>
      <c r="H10" s="12"/>
      <c r="I10" s="12">
        <v>9.99</v>
      </c>
      <c r="J10" s="12">
        <v>14.99</v>
      </c>
      <c r="K10" s="12">
        <v>13.99</v>
      </c>
      <c r="L10" s="12">
        <v>6.99</v>
      </c>
      <c r="M10" s="12">
        <v>20.99</v>
      </c>
      <c r="N10" s="12">
        <v>17.989999999999998</v>
      </c>
      <c r="O10" s="12"/>
      <c r="P10" s="12">
        <v>25.98</v>
      </c>
      <c r="Q10" s="12">
        <v>9.99</v>
      </c>
      <c r="R10" s="12">
        <v>10</v>
      </c>
      <c r="S10" s="12">
        <v>12.99</v>
      </c>
      <c r="T10" s="12"/>
      <c r="U10" s="12">
        <v>15.99</v>
      </c>
      <c r="V10" s="12">
        <v>15.99</v>
      </c>
      <c r="W10" s="12">
        <v>18.989999999999998</v>
      </c>
      <c r="X10" s="12">
        <v>29.99</v>
      </c>
    </row>
    <row r="11" spans="1:24" x14ac:dyDescent="0.25">
      <c r="A11" s="11">
        <v>2208</v>
      </c>
      <c r="B11" s="12"/>
      <c r="C11" s="12"/>
      <c r="D11" s="12"/>
      <c r="E11" s="12"/>
      <c r="F11" s="12"/>
      <c r="G11" s="12"/>
      <c r="H11" s="12"/>
      <c r="I11" s="12"/>
      <c r="J11" s="12"/>
      <c r="K11" s="12"/>
      <c r="L11" s="12">
        <v>6.99</v>
      </c>
      <c r="M11" s="12"/>
      <c r="N11" s="12"/>
      <c r="O11" s="12">
        <v>15.99</v>
      </c>
      <c r="P11" s="12"/>
      <c r="Q11" s="12">
        <v>9.99</v>
      </c>
      <c r="R11" s="12">
        <v>10</v>
      </c>
      <c r="S11" s="12">
        <v>12.99</v>
      </c>
      <c r="T11" s="12">
        <v>25.99</v>
      </c>
      <c r="U11" s="12">
        <v>15.99</v>
      </c>
      <c r="V11" s="12">
        <v>15.99</v>
      </c>
      <c r="W11" s="12">
        <v>18.989999999999998</v>
      </c>
      <c r="X11" s="12">
        <v>29.99</v>
      </c>
    </row>
    <row r="12" spans="1:24" x14ac:dyDescent="0.25">
      <c r="A12" s="11">
        <v>2236</v>
      </c>
      <c r="B12" s="12"/>
      <c r="C12" s="12"/>
      <c r="D12" s="12"/>
      <c r="E12" s="12"/>
      <c r="F12" s="12">
        <v>14.99</v>
      </c>
      <c r="G12" s="12">
        <v>20.99</v>
      </c>
      <c r="H12" s="12">
        <v>25.98</v>
      </c>
      <c r="I12" s="12">
        <v>9.99</v>
      </c>
      <c r="J12" s="12"/>
      <c r="K12" s="12">
        <v>13.99</v>
      </c>
      <c r="L12" s="12">
        <v>6.99</v>
      </c>
      <c r="M12" s="12"/>
      <c r="N12" s="12">
        <v>17.989999999999998</v>
      </c>
      <c r="O12" s="12"/>
      <c r="P12" s="12"/>
      <c r="Q12" s="12">
        <v>9.99</v>
      </c>
      <c r="R12" s="12">
        <v>10</v>
      </c>
      <c r="S12" s="12">
        <v>12.99</v>
      </c>
      <c r="T12" s="12"/>
      <c r="U12" s="12">
        <v>15.99</v>
      </c>
      <c r="V12" s="12">
        <v>15.99</v>
      </c>
      <c r="W12" s="12">
        <v>18.989999999999998</v>
      </c>
      <c r="X12" s="12">
        <v>29.99</v>
      </c>
    </row>
    <row r="13" spans="1:24" x14ac:dyDescent="0.25">
      <c r="A13" s="11">
        <v>2272</v>
      </c>
      <c r="B13" s="12"/>
      <c r="C13" s="12"/>
      <c r="D13" s="12"/>
      <c r="E13" s="12"/>
      <c r="F13" s="12"/>
      <c r="G13" s="12"/>
      <c r="H13" s="12"/>
      <c r="I13" s="12">
        <v>9.99</v>
      </c>
      <c r="J13" s="12">
        <v>14.99</v>
      </c>
      <c r="K13" s="12">
        <v>13.99</v>
      </c>
      <c r="L13" s="12">
        <v>6.99</v>
      </c>
      <c r="M13" s="12">
        <v>20.99</v>
      </c>
      <c r="N13" s="12">
        <v>17.989999999999998</v>
      </c>
      <c r="O13" s="12"/>
      <c r="P13" s="12">
        <v>25.98</v>
      </c>
      <c r="Q13" s="12">
        <v>9.99</v>
      </c>
      <c r="R13" s="12">
        <v>10</v>
      </c>
      <c r="S13" s="12">
        <v>12.99</v>
      </c>
      <c r="T13" s="12"/>
      <c r="U13" s="12">
        <v>15.99</v>
      </c>
      <c r="V13" s="12">
        <v>15.99</v>
      </c>
      <c r="W13" s="12">
        <v>18.989999999999998</v>
      </c>
      <c r="X13" s="12">
        <v>29.99</v>
      </c>
    </row>
    <row r="14" spans="1:24" x14ac:dyDescent="0.25">
      <c r="A14" s="11">
        <v>2306</v>
      </c>
      <c r="B14" s="12"/>
      <c r="C14" s="12"/>
      <c r="D14" s="12"/>
      <c r="E14" s="12"/>
      <c r="F14" s="12"/>
      <c r="G14" s="12"/>
      <c r="H14" s="12"/>
      <c r="I14" s="12"/>
      <c r="J14" s="12"/>
      <c r="K14" s="12"/>
      <c r="L14" s="12">
        <v>6.99</v>
      </c>
      <c r="M14" s="12"/>
      <c r="N14" s="12"/>
      <c r="O14" s="12">
        <v>15.99</v>
      </c>
      <c r="P14" s="12"/>
      <c r="Q14" s="12">
        <v>9.99</v>
      </c>
      <c r="R14" s="12">
        <v>10</v>
      </c>
      <c r="S14" s="12">
        <v>12.99</v>
      </c>
      <c r="T14" s="12">
        <v>25.99</v>
      </c>
      <c r="U14" s="12">
        <v>15.99</v>
      </c>
      <c r="V14" s="12">
        <v>15.99</v>
      </c>
      <c r="W14" s="12">
        <v>18.989999999999998</v>
      </c>
      <c r="X14" s="12">
        <v>29.99</v>
      </c>
    </row>
    <row r="15" spans="1:24" x14ac:dyDescent="0.25">
      <c r="A15" s="11">
        <v>2325</v>
      </c>
      <c r="B15" s="12"/>
      <c r="C15" s="12"/>
      <c r="D15" s="12"/>
      <c r="E15" s="12"/>
      <c r="F15" s="12"/>
      <c r="G15" s="12"/>
      <c r="H15" s="12"/>
      <c r="I15" s="12"/>
      <c r="J15" s="12"/>
      <c r="K15" s="12"/>
      <c r="L15" s="12">
        <v>6.99</v>
      </c>
      <c r="M15" s="12"/>
      <c r="N15" s="12"/>
      <c r="O15" s="12">
        <v>15.99</v>
      </c>
      <c r="P15" s="12"/>
      <c r="Q15" s="12">
        <v>9.99</v>
      </c>
      <c r="R15" s="12">
        <v>10</v>
      </c>
      <c r="S15" s="12">
        <v>12.99</v>
      </c>
      <c r="T15" s="12">
        <v>25.99</v>
      </c>
      <c r="U15" s="12">
        <v>15.99</v>
      </c>
      <c r="V15" s="12">
        <v>15.99</v>
      </c>
      <c r="W15" s="12">
        <v>18.989999999999998</v>
      </c>
      <c r="X15" s="12">
        <v>29.99</v>
      </c>
    </row>
    <row r="16" spans="1:24" x14ac:dyDescent="0.25">
      <c r="A16" s="11">
        <v>2457</v>
      </c>
      <c r="B16" s="12"/>
      <c r="C16" s="12"/>
      <c r="D16" s="12"/>
      <c r="E16" s="12"/>
      <c r="F16" s="12"/>
      <c r="G16" s="12"/>
      <c r="H16" s="12"/>
      <c r="I16" s="12">
        <v>9.99</v>
      </c>
      <c r="J16" s="12">
        <v>14.99</v>
      </c>
      <c r="K16" s="12">
        <v>13.99</v>
      </c>
      <c r="L16" s="12">
        <v>6.99</v>
      </c>
      <c r="M16" s="12">
        <v>20.99</v>
      </c>
      <c r="N16" s="12">
        <v>17.989999999999998</v>
      </c>
      <c r="O16" s="12"/>
      <c r="P16" s="12">
        <v>25.98</v>
      </c>
      <c r="Q16" s="12">
        <v>9.99</v>
      </c>
      <c r="R16" s="12">
        <v>10</v>
      </c>
      <c r="S16" s="12">
        <v>12.99</v>
      </c>
      <c r="T16" s="12"/>
      <c r="U16" s="12">
        <v>15.99</v>
      </c>
      <c r="V16" s="12">
        <v>15.99</v>
      </c>
      <c r="W16" s="12">
        <v>18.989999999999998</v>
      </c>
      <c r="X16" s="12">
        <v>29.99</v>
      </c>
    </row>
    <row r="17" spans="1:24" x14ac:dyDescent="0.25">
      <c r="A17" s="11">
        <v>2478</v>
      </c>
      <c r="B17" s="12"/>
      <c r="C17" s="12"/>
      <c r="D17" s="12"/>
      <c r="E17" s="12"/>
      <c r="F17" s="12"/>
      <c r="G17" s="12"/>
      <c r="H17" s="12"/>
      <c r="I17" s="12"/>
      <c r="J17" s="12"/>
      <c r="K17" s="12"/>
      <c r="L17" s="12">
        <v>6.99</v>
      </c>
      <c r="M17" s="12"/>
      <c r="N17" s="12"/>
      <c r="O17" s="12">
        <v>15.99</v>
      </c>
      <c r="P17" s="12"/>
      <c r="Q17" s="12">
        <v>9.99</v>
      </c>
      <c r="R17" s="12">
        <v>10</v>
      </c>
      <c r="S17" s="12">
        <v>12.99</v>
      </c>
      <c r="T17" s="12">
        <v>25.99</v>
      </c>
      <c r="U17" s="12">
        <v>15.99</v>
      </c>
      <c r="V17" s="12">
        <v>15.99</v>
      </c>
      <c r="W17" s="12">
        <v>18.989999999999998</v>
      </c>
      <c r="X17" s="12">
        <v>29.99</v>
      </c>
    </row>
    <row r="18" spans="1:24" x14ac:dyDescent="0.25">
      <c r="A18" s="11">
        <v>2549</v>
      </c>
      <c r="B18" s="12"/>
      <c r="C18" s="12"/>
      <c r="D18" s="12"/>
      <c r="E18" s="12"/>
      <c r="F18" s="12"/>
      <c r="G18" s="12"/>
      <c r="H18" s="12"/>
      <c r="I18" s="12">
        <v>9.99</v>
      </c>
      <c r="J18" s="12">
        <v>14.99</v>
      </c>
      <c r="K18" s="12">
        <v>13.99</v>
      </c>
      <c r="L18" s="12">
        <v>6.99</v>
      </c>
      <c r="M18" s="12">
        <v>20.99</v>
      </c>
      <c r="N18" s="12">
        <v>17.989999999999998</v>
      </c>
      <c r="O18" s="12"/>
      <c r="P18" s="12">
        <v>25.98</v>
      </c>
      <c r="Q18" s="12">
        <v>9.99</v>
      </c>
      <c r="R18" s="12">
        <v>10</v>
      </c>
      <c r="S18" s="12">
        <v>12.99</v>
      </c>
      <c r="T18" s="12"/>
      <c r="U18" s="12">
        <v>15.99</v>
      </c>
      <c r="V18" s="12">
        <v>15.99</v>
      </c>
      <c r="W18" s="12">
        <v>18.989999999999998</v>
      </c>
      <c r="X18" s="12">
        <v>29.99</v>
      </c>
    </row>
    <row r="19" spans="1:24" x14ac:dyDescent="0.25">
      <c r="A19" s="11">
        <v>2603</v>
      </c>
      <c r="B19" s="12"/>
      <c r="C19" s="12"/>
      <c r="D19" s="12"/>
      <c r="E19" s="12"/>
      <c r="F19" s="12"/>
      <c r="G19" s="12"/>
      <c r="H19" s="12"/>
      <c r="I19" s="12">
        <v>9.99</v>
      </c>
      <c r="J19" s="12">
        <v>14.99</v>
      </c>
      <c r="K19" s="12">
        <v>13.99</v>
      </c>
      <c r="L19" s="12">
        <v>6.99</v>
      </c>
      <c r="M19" s="12">
        <v>20.99</v>
      </c>
      <c r="N19" s="12">
        <v>17.989999999999998</v>
      </c>
      <c r="O19" s="12"/>
      <c r="P19" s="12">
        <v>25.98</v>
      </c>
      <c r="Q19" s="12">
        <v>9.99</v>
      </c>
      <c r="R19" s="12">
        <v>10</v>
      </c>
      <c r="S19" s="12">
        <v>12.99</v>
      </c>
      <c r="T19" s="12"/>
      <c r="U19" s="12">
        <v>15.99</v>
      </c>
      <c r="V19" s="12">
        <v>15.99</v>
      </c>
      <c r="W19" s="12">
        <v>18.989999999999998</v>
      </c>
      <c r="X19" s="12">
        <v>29.99</v>
      </c>
    </row>
    <row r="20" spans="1:24" x14ac:dyDescent="0.25">
      <c r="A20" s="11">
        <v>2612</v>
      </c>
      <c r="B20" s="12"/>
      <c r="C20" s="12"/>
      <c r="D20" s="12"/>
      <c r="E20" s="12"/>
      <c r="F20" s="12"/>
      <c r="G20" s="12"/>
      <c r="H20" s="12"/>
      <c r="I20" s="12"/>
      <c r="J20" s="12"/>
      <c r="K20" s="12"/>
      <c r="L20" s="12">
        <v>6.99</v>
      </c>
      <c r="M20" s="12"/>
      <c r="N20" s="12"/>
      <c r="O20" s="12">
        <v>15.99</v>
      </c>
      <c r="P20" s="12"/>
      <c r="Q20" s="12">
        <v>9.99</v>
      </c>
      <c r="R20" s="12">
        <v>10</v>
      </c>
      <c r="S20" s="12">
        <v>12.99</v>
      </c>
      <c r="T20" s="12">
        <v>25.99</v>
      </c>
      <c r="U20" s="12">
        <v>15.99</v>
      </c>
      <c r="V20" s="12">
        <v>15.99</v>
      </c>
      <c r="W20" s="12">
        <v>18.989999999999998</v>
      </c>
      <c r="X20" s="12">
        <v>29.99</v>
      </c>
    </row>
    <row r="21" spans="1:24" x14ac:dyDescent="0.25">
      <c r="A21" s="11">
        <v>2618</v>
      </c>
      <c r="B21" s="12"/>
      <c r="C21" s="12"/>
      <c r="D21" s="12"/>
      <c r="E21" s="12"/>
      <c r="F21" s="12"/>
      <c r="G21" s="12"/>
      <c r="H21" s="12"/>
      <c r="I21" s="12"/>
      <c r="J21" s="12"/>
      <c r="K21" s="12"/>
      <c r="L21" s="12">
        <v>6.99</v>
      </c>
      <c r="M21" s="12"/>
      <c r="N21" s="12"/>
      <c r="O21" s="12">
        <v>15.99</v>
      </c>
      <c r="P21" s="12"/>
      <c r="Q21" s="12">
        <v>9.99</v>
      </c>
      <c r="R21" s="12">
        <v>10</v>
      </c>
      <c r="S21" s="12">
        <v>12.99</v>
      </c>
      <c r="T21" s="12">
        <v>25.99</v>
      </c>
      <c r="U21" s="12">
        <v>15.99</v>
      </c>
      <c r="V21" s="12">
        <v>15.99</v>
      </c>
      <c r="W21" s="12">
        <v>18.989999999999998</v>
      </c>
      <c r="X21" s="12">
        <v>29.99</v>
      </c>
    </row>
    <row r="22" spans="1:24" x14ac:dyDescent="0.25">
      <c r="A22" s="11">
        <v>2687</v>
      </c>
      <c r="B22" s="12"/>
      <c r="C22" s="12"/>
      <c r="D22" s="12"/>
      <c r="E22" s="12"/>
      <c r="F22" s="12"/>
      <c r="G22" s="12"/>
      <c r="H22" s="12"/>
      <c r="I22" s="12"/>
      <c r="J22" s="12"/>
      <c r="K22" s="12"/>
      <c r="L22" s="12">
        <v>6.99</v>
      </c>
      <c r="M22" s="12"/>
      <c r="N22" s="12"/>
      <c r="O22" s="12">
        <v>15.99</v>
      </c>
      <c r="P22" s="12"/>
      <c r="Q22" s="12">
        <v>9.99</v>
      </c>
      <c r="R22" s="12">
        <v>10</v>
      </c>
      <c r="S22" s="12">
        <v>12.99</v>
      </c>
      <c r="T22" s="12">
        <v>25.99</v>
      </c>
      <c r="U22" s="12">
        <v>15.99</v>
      </c>
      <c r="V22" s="12">
        <v>15.99</v>
      </c>
      <c r="W22" s="12">
        <v>18.989999999999998</v>
      </c>
      <c r="X22" s="12">
        <v>29.99</v>
      </c>
    </row>
    <row r="23" spans="1:24" x14ac:dyDescent="0.25">
      <c r="A23" s="11">
        <v>2921</v>
      </c>
      <c r="B23" s="12"/>
      <c r="C23" s="12"/>
      <c r="D23" s="12"/>
      <c r="E23" s="12"/>
      <c r="F23" s="12"/>
      <c r="G23" s="12"/>
      <c r="H23" s="12"/>
      <c r="I23" s="12"/>
      <c r="J23" s="12"/>
      <c r="K23" s="12"/>
      <c r="L23" s="12">
        <v>6.99</v>
      </c>
      <c r="M23" s="12"/>
      <c r="N23" s="12"/>
      <c r="O23" s="12">
        <v>15.99</v>
      </c>
      <c r="P23" s="12"/>
      <c r="Q23" s="12">
        <v>9.99</v>
      </c>
      <c r="R23" s="12">
        <v>10</v>
      </c>
      <c r="S23" s="12">
        <v>12.99</v>
      </c>
      <c r="T23" s="12">
        <v>25.99</v>
      </c>
      <c r="U23" s="12">
        <v>15.99</v>
      </c>
      <c r="V23" s="12">
        <v>15.99</v>
      </c>
      <c r="W23" s="12">
        <v>18.989999999999998</v>
      </c>
      <c r="X23" s="12">
        <v>29.99</v>
      </c>
    </row>
    <row r="24" spans="1:24" x14ac:dyDescent="0.25">
      <c r="A24" s="11">
        <v>2953</v>
      </c>
      <c r="B24" s="12"/>
      <c r="C24" s="12"/>
      <c r="D24" s="12"/>
      <c r="E24" s="12"/>
      <c r="F24" s="12">
        <v>14.99</v>
      </c>
      <c r="G24" s="12">
        <v>20.99</v>
      </c>
      <c r="H24" s="12">
        <v>25.98</v>
      </c>
      <c r="I24" s="12">
        <v>9.99</v>
      </c>
      <c r="J24" s="12"/>
      <c r="K24" s="12">
        <v>13.99</v>
      </c>
      <c r="L24" s="12">
        <v>6.99</v>
      </c>
      <c r="M24" s="12"/>
      <c r="N24" s="12">
        <v>17.989999999999998</v>
      </c>
      <c r="O24" s="12"/>
      <c r="P24" s="12"/>
      <c r="Q24" s="12">
        <v>9.99</v>
      </c>
      <c r="R24" s="12">
        <v>10</v>
      </c>
      <c r="S24" s="12">
        <v>12.99</v>
      </c>
      <c r="T24" s="12"/>
      <c r="U24" s="12">
        <v>15.99</v>
      </c>
      <c r="V24" s="12">
        <v>15.99</v>
      </c>
      <c r="W24" s="12">
        <v>18.989999999999998</v>
      </c>
      <c r="X24" s="12">
        <v>29.99</v>
      </c>
    </row>
    <row r="25" spans="1:24" x14ac:dyDescent="0.25">
      <c r="A25" s="11">
        <v>3015</v>
      </c>
      <c r="B25" s="12"/>
      <c r="C25" s="12"/>
      <c r="D25" s="12"/>
      <c r="E25" s="12"/>
      <c r="F25" s="12"/>
      <c r="G25" s="12"/>
      <c r="H25" s="12"/>
      <c r="I25" s="12"/>
      <c r="J25" s="12"/>
      <c r="K25" s="12"/>
      <c r="L25" s="12">
        <v>6.99</v>
      </c>
      <c r="M25" s="12"/>
      <c r="N25" s="12"/>
      <c r="O25" s="12">
        <v>15.99</v>
      </c>
      <c r="P25" s="12"/>
      <c r="Q25" s="12">
        <v>9.99</v>
      </c>
      <c r="R25" s="12">
        <v>10</v>
      </c>
      <c r="S25" s="12">
        <v>12.99</v>
      </c>
      <c r="T25" s="12">
        <v>25.99</v>
      </c>
      <c r="U25" s="12">
        <v>15.99</v>
      </c>
      <c r="V25" s="12">
        <v>15.99</v>
      </c>
      <c r="W25" s="12">
        <v>18.989999999999998</v>
      </c>
      <c r="X25" s="12">
        <v>29.99</v>
      </c>
    </row>
    <row r="26" spans="1:24" x14ac:dyDescent="0.25">
      <c r="A26" s="11">
        <v>3130</v>
      </c>
      <c r="B26" s="12"/>
      <c r="C26" s="12"/>
      <c r="D26" s="12"/>
      <c r="E26" s="12">
        <v>16.989999999999998</v>
      </c>
      <c r="F26" s="12"/>
      <c r="G26" s="12"/>
      <c r="H26" s="12"/>
      <c r="I26" s="12"/>
      <c r="J26" s="12"/>
      <c r="K26" s="12"/>
      <c r="L26" s="12">
        <v>6.99</v>
      </c>
      <c r="M26" s="12"/>
      <c r="N26" s="12"/>
      <c r="O26" s="12">
        <v>15.99</v>
      </c>
      <c r="P26" s="12"/>
      <c r="Q26" s="12">
        <v>9.99</v>
      </c>
      <c r="R26" s="12">
        <v>10</v>
      </c>
      <c r="S26" s="12">
        <v>12.99</v>
      </c>
      <c r="T26" s="12">
        <v>25.99</v>
      </c>
      <c r="U26" s="12">
        <v>15.99</v>
      </c>
      <c r="V26" s="12">
        <v>15.99</v>
      </c>
      <c r="W26" s="12"/>
      <c r="X26" s="12">
        <v>29.99</v>
      </c>
    </row>
    <row r="27" spans="1:24" x14ac:dyDescent="0.25">
      <c r="A27" s="11">
        <v>3479</v>
      </c>
      <c r="B27" s="12"/>
      <c r="C27" s="12"/>
      <c r="D27" s="12"/>
      <c r="E27" s="12"/>
      <c r="F27" s="12"/>
      <c r="G27" s="12"/>
      <c r="H27" s="12"/>
      <c r="I27" s="12"/>
      <c r="J27" s="12"/>
      <c r="K27" s="12"/>
      <c r="L27" s="12">
        <v>6.99</v>
      </c>
      <c r="M27" s="12"/>
      <c r="N27" s="12"/>
      <c r="O27" s="12">
        <v>15.99</v>
      </c>
      <c r="P27" s="12"/>
      <c r="Q27" s="12">
        <v>9.99</v>
      </c>
      <c r="R27" s="12">
        <v>10</v>
      </c>
      <c r="S27" s="12">
        <v>12.99</v>
      </c>
      <c r="T27" s="12">
        <v>25.99</v>
      </c>
      <c r="U27" s="12">
        <v>15.99</v>
      </c>
      <c r="V27" s="12">
        <v>15.99</v>
      </c>
      <c r="W27" s="12">
        <v>18.989999999999998</v>
      </c>
      <c r="X27" s="12">
        <v>29.99</v>
      </c>
    </row>
    <row r="28" spans="1:24" x14ac:dyDescent="0.25">
      <c r="A28" s="11">
        <v>3498</v>
      </c>
      <c r="B28" s="12"/>
      <c r="C28" s="12"/>
      <c r="D28" s="12"/>
      <c r="E28" s="12"/>
      <c r="F28" s="12">
        <v>14.99</v>
      </c>
      <c r="G28" s="12">
        <v>20.99</v>
      </c>
      <c r="H28" s="12">
        <v>25.98</v>
      </c>
      <c r="I28" s="12">
        <v>9.99</v>
      </c>
      <c r="J28" s="12"/>
      <c r="K28" s="12">
        <v>13.99</v>
      </c>
      <c r="L28" s="12">
        <v>6.99</v>
      </c>
      <c r="M28" s="12"/>
      <c r="N28" s="12">
        <v>17.989999999999998</v>
      </c>
      <c r="O28" s="12"/>
      <c r="P28" s="12"/>
      <c r="Q28" s="12">
        <v>9.99</v>
      </c>
      <c r="R28" s="12">
        <v>10</v>
      </c>
      <c r="S28" s="12">
        <v>12.99</v>
      </c>
      <c r="T28" s="12"/>
      <c r="U28" s="12">
        <v>15.99</v>
      </c>
      <c r="V28" s="12">
        <v>15.99</v>
      </c>
      <c r="W28" s="12">
        <v>18.989999999999998</v>
      </c>
      <c r="X28" s="12">
        <v>29.99</v>
      </c>
    </row>
    <row r="29" spans="1:24" x14ac:dyDescent="0.25">
      <c r="A29" s="11">
        <v>4405</v>
      </c>
      <c r="B29" s="12"/>
      <c r="C29" s="12"/>
      <c r="D29" s="12"/>
      <c r="E29" s="12"/>
      <c r="F29" s="12"/>
      <c r="G29" s="12"/>
      <c r="H29" s="12"/>
      <c r="I29" s="12"/>
      <c r="J29" s="12"/>
      <c r="K29" s="12"/>
      <c r="L29" s="12">
        <v>6.99</v>
      </c>
      <c r="M29" s="12"/>
      <c r="N29" s="12"/>
      <c r="O29" s="12">
        <v>15.99</v>
      </c>
      <c r="P29" s="12"/>
      <c r="Q29" s="12">
        <v>9.99</v>
      </c>
      <c r="R29" s="12">
        <v>10</v>
      </c>
      <c r="S29" s="12">
        <v>12.99</v>
      </c>
      <c r="T29" s="12">
        <v>25.99</v>
      </c>
      <c r="U29" s="12">
        <v>15.99</v>
      </c>
      <c r="V29" s="12">
        <v>15.99</v>
      </c>
      <c r="W29" s="12">
        <v>18.989999999999998</v>
      </c>
      <c r="X29" s="12">
        <v>29.99</v>
      </c>
    </row>
    <row r="30" spans="1:24" x14ac:dyDescent="0.25">
      <c r="A30" s="11">
        <v>4778</v>
      </c>
      <c r="B30" s="12"/>
      <c r="C30" s="12"/>
      <c r="D30" s="12"/>
      <c r="E30" s="12"/>
      <c r="F30" s="12"/>
      <c r="G30" s="12"/>
      <c r="H30" s="12"/>
      <c r="I30" s="12">
        <v>9.99</v>
      </c>
      <c r="J30" s="12">
        <v>14.99</v>
      </c>
      <c r="K30" s="12">
        <v>13.99</v>
      </c>
      <c r="L30" s="12">
        <v>6.99</v>
      </c>
      <c r="M30" s="12">
        <v>20.99</v>
      </c>
      <c r="N30" s="12">
        <v>17.989999999999998</v>
      </c>
      <c r="O30" s="12"/>
      <c r="P30" s="12">
        <v>25.98</v>
      </c>
      <c r="Q30" s="12">
        <v>9.99</v>
      </c>
      <c r="R30" s="12">
        <v>10</v>
      </c>
      <c r="S30" s="12">
        <v>12.99</v>
      </c>
      <c r="T30" s="12"/>
      <c r="U30" s="12">
        <v>15.99</v>
      </c>
      <c r="V30" s="12">
        <v>15.99</v>
      </c>
      <c r="W30" s="12">
        <v>18.989999999999998</v>
      </c>
      <c r="X30" s="12">
        <v>29.99</v>
      </c>
    </row>
    <row r="31" spans="1:24" x14ac:dyDescent="0.25">
      <c r="A31" s="11">
        <v>5293</v>
      </c>
      <c r="B31" s="12"/>
      <c r="C31" s="12"/>
      <c r="D31" s="12"/>
      <c r="E31" s="12"/>
      <c r="F31" s="12"/>
      <c r="G31" s="12"/>
      <c r="H31" s="12"/>
      <c r="I31" s="12"/>
      <c r="J31" s="12"/>
      <c r="K31" s="12"/>
      <c r="L31" s="12">
        <v>6.99</v>
      </c>
      <c r="M31" s="12"/>
      <c r="N31" s="12"/>
      <c r="O31" s="12">
        <v>15.99</v>
      </c>
      <c r="P31" s="12"/>
      <c r="Q31" s="12">
        <v>9.99</v>
      </c>
      <c r="R31" s="12">
        <v>10</v>
      </c>
      <c r="S31" s="12">
        <v>12.99</v>
      </c>
      <c r="T31" s="12">
        <v>25.99</v>
      </c>
      <c r="U31" s="12">
        <v>15.99</v>
      </c>
      <c r="V31" s="12">
        <v>15.99</v>
      </c>
      <c r="W31" s="12">
        <v>18.989999999999998</v>
      </c>
      <c r="X31" s="12">
        <v>29.99</v>
      </c>
    </row>
    <row r="32" spans="1:24" x14ac:dyDescent="0.25">
      <c r="A32" s="11">
        <v>5296</v>
      </c>
      <c r="B32" s="12"/>
      <c r="C32" s="12"/>
      <c r="D32" s="12"/>
      <c r="E32" s="12"/>
      <c r="F32" s="12"/>
      <c r="G32" s="12"/>
      <c r="H32" s="12"/>
      <c r="I32" s="12"/>
      <c r="J32" s="12"/>
      <c r="K32" s="12"/>
      <c r="L32" s="12">
        <v>6.99</v>
      </c>
      <c r="M32" s="12"/>
      <c r="N32" s="12"/>
      <c r="O32" s="12">
        <v>15.99</v>
      </c>
      <c r="P32" s="12"/>
      <c r="Q32" s="12">
        <v>9.99</v>
      </c>
      <c r="R32" s="12">
        <v>10</v>
      </c>
      <c r="S32" s="12">
        <v>12.99</v>
      </c>
      <c r="T32" s="12">
        <v>25.99</v>
      </c>
      <c r="U32" s="12"/>
      <c r="V32" s="12">
        <v>15.99</v>
      </c>
      <c r="W32" s="12">
        <v>18.989999999999998</v>
      </c>
      <c r="X32" s="12">
        <v>29.99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939-42FA-41C4-96D7-EBAC5B819DE9}">
  <sheetPr codeName="Sheet5"/>
  <dimension ref="B2:E146"/>
  <sheetViews>
    <sheetView workbookViewId="0">
      <selection activeCell="B20" sqref="B20"/>
    </sheetView>
  </sheetViews>
  <sheetFormatPr defaultRowHeight="15" x14ac:dyDescent="0.25"/>
  <cols>
    <col min="2" max="2" width="45.28515625" bestFit="1" customWidth="1"/>
    <col min="3" max="3" width="11.42578125" style="3" bestFit="1" customWidth="1"/>
    <col min="4" max="4" width="16.42578125" bestFit="1" customWidth="1"/>
    <col min="5" max="5" width="187.42578125" customWidth="1"/>
  </cols>
  <sheetData>
    <row r="2" spans="2:5" x14ac:dyDescent="0.25">
      <c r="B2" t="s">
        <v>57</v>
      </c>
      <c r="C2" s="3" t="s">
        <v>56</v>
      </c>
      <c r="D2" t="s">
        <v>59</v>
      </c>
      <c r="E2" t="s">
        <v>58</v>
      </c>
    </row>
    <row r="3" spans="2:5" x14ac:dyDescent="0.25">
      <c r="B3" t="str" cm="1">
        <f t="array" ref="B3:B28">_xlfn.UNIQUE(Export[offer])</f>
        <v>NY Style Crispy Cuppy ‘Roni Pizza</v>
      </c>
      <c r="C3" s="3" cm="1">
        <f t="array" ref="C3">IF(B3="","",COUNTA(_xlfn.UNIQUE(_xlfn._xlws.FILTER(Export[store],Export[offer]='Unique Offer Titles'!B3))))</f>
        <v>26</v>
      </c>
      <c r="D3" t="str" cm="1">
        <f t="array" ref="D3">IF(B3="","",_xlfn.TEXTJOIN(", ",TRUE,_xlfn.UNIQUE(_xlfn._xlws.FILTER(Export[[DO or Franchise Name  ]],Export[offer]='Unique Offer Titles'!B3))))</f>
        <v>Portland, Tacoma</v>
      </c>
      <c r="E3" t="str" cm="1">
        <f t="array" ref="E3">IF(B3="","",_xlfn.TEXTJOIN(", ",TRUE,_xlfn.UNIQUE(_xlfn._xlws.FILTER(Export[store],Export[offer]='Unique Offer Titles'!B3))))</f>
        <v>1740, 1743, 2172, 2174, 2236, 2272, 2457, 2549, 2603, 2953, 3498, 4778, 2208, 2325, 2478, 2612, 2687, 2921, 3015, 4405, 5293, 5296, 2306, 2618, 3130, 3479</v>
      </c>
    </row>
    <row r="4" spans="2:5" x14ac:dyDescent="0.25">
      <c r="B4" t="str">
        <v>Papa Pairings</v>
      </c>
      <c r="C4" s="3" cm="1">
        <f t="array" ref="C4">IF(B4="","",COUNTA(_xlfn.UNIQUE(_xlfn._xlws.FILTER(Export[store],Export[offer]='Unique Offer Titles'!B4))))</f>
        <v>26</v>
      </c>
      <c r="D4" t="str" cm="1">
        <f t="array" ref="D4">IF(B4="","",_xlfn.TEXTJOIN(", ",TRUE,_xlfn.UNIQUE(_xlfn._xlws.FILTER(Export[[DO or Franchise Name  ]],Export[offer]='Unique Offer Titles'!B4))))</f>
        <v>Portland, Tacoma</v>
      </c>
      <c r="E4" t="str" cm="1">
        <f t="array" ref="E4">IF(B4="","",_xlfn.TEXTJOIN(", ",TRUE,_xlfn.UNIQUE(_xlfn._xlws.FILTER(Export[store],Export[offer]='Unique Offer Titles'!B4))))</f>
        <v>1740, 1743, 2172, 2174, 2236, 2272, 2457, 2549, 2603, 2953, 3498, 4778, 2208, 2325, 2478, 2612, 2687, 2921, 3015, 4405, 5293, 5296, 2306, 2618, 3130, 3479</v>
      </c>
    </row>
    <row r="5" spans="2:5" x14ac:dyDescent="0.25">
      <c r="B5" t="str">
        <v>Large 1 Topping Pizza for $9.99  Carryout Only!</v>
      </c>
      <c r="C5" s="3" cm="1">
        <f t="array" ref="C5">IF(B5="","",COUNTA(_xlfn.UNIQUE(_xlfn._xlws.FILTER(Export[store],Export[offer]='Unique Offer Titles'!B5))))</f>
        <v>25</v>
      </c>
      <c r="D5" t="str" cm="1">
        <f t="array" ref="D5">IF(B5="","",_xlfn.TEXTJOIN(", ",TRUE,_xlfn.UNIQUE(_xlfn._xlws.FILTER(Export[[DO or Franchise Name  ]],Export[offer]='Unique Offer Titles'!B5))))</f>
        <v>Portland, Tacoma</v>
      </c>
      <c r="E5" t="str" cm="1">
        <f t="array" ref="E5">IF(B5="","",_xlfn.TEXTJOIN(", ",TRUE,_xlfn.UNIQUE(_xlfn._xlws.FILTER(Export[store],Export[offer]='Unique Offer Titles'!B5))))</f>
        <v>1740, 1743, 2172, 2174, 2236, 2272, 2457, 2549, 2603, 2953, 3498, 4778, 2208, 2325, 2478, 2612, 2687, 2921, 3015, 4405, 5293, 5296, 2306, 2618, 3479</v>
      </c>
    </row>
    <row r="6" spans="2:5" x14ac:dyDescent="0.25">
      <c r="B6" t="str">
        <v>Large 1-Topping Pizza</v>
      </c>
      <c r="C6" s="3" cm="1">
        <f t="array" ref="C6">IF(B6="","",COUNTA(_xlfn.UNIQUE(_xlfn._xlws.FILTER(Export[store],Export[offer]='Unique Offer Titles'!B6))))</f>
        <v>26</v>
      </c>
      <c r="D6" t="str" cm="1">
        <f t="array" ref="D6">IF(B6="","",_xlfn.TEXTJOIN(", ",TRUE,_xlfn.UNIQUE(_xlfn._xlws.FILTER(Export[[DO or Franchise Name  ]],Export[offer]='Unique Offer Titles'!B6))))</f>
        <v>Portland, Tacoma</v>
      </c>
      <c r="E6" t="str" cm="1">
        <f t="array" ref="E6">IF(B6="","",_xlfn.TEXTJOIN(", ",TRUE,_xlfn.UNIQUE(_xlfn._xlws.FILTER(Export[store],Export[offer]='Unique Offer Titles'!B6))))</f>
        <v>1740, 1743, 2172, 2174, 2236, 2272, 2457, 2549, 2603, 2953, 3498, 4778, 2208, 2325, 2478, 2612, 2687, 2921, 3015, 4405, 5293, 5296, 2306, 2618, 3130, 3479</v>
      </c>
    </row>
    <row r="7" spans="2:5" x14ac:dyDescent="0.25">
      <c r="B7" t="str">
        <v>Carryout Offer - Large 5-topping or specialty</v>
      </c>
      <c r="C7" s="3" cm="1">
        <f t="array" ref="C7">IF(B7="","",COUNTA(_xlfn.UNIQUE(_xlfn._xlws.FILTER(Export[store],Export[offer]='Unique Offer Titles'!B7))))</f>
        <v>9</v>
      </c>
      <c r="D7" t="str" cm="1">
        <f t="array" ref="D7">IF(B7="","",_xlfn.TEXTJOIN(", ",TRUE,_xlfn.UNIQUE(_xlfn._xlws.FILTER(Export[[DO or Franchise Name  ]],Export[offer]='Unique Offer Titles'!B7))))</f>
        <v>Portland</v>
      </c>
      <c r="E7" t="str" cm="1">
        <f t="array" ref="E7">IF(B7="","",_xlfn.TEXTJOIN(", ",TRUE,_xlfn.UNIQUE(_xlfn._xlws.FILTER(Export[store],Export[offer]='Unique Offer Titles'!B7))))</f>
        <v>1740, 1743, 2172, 2174, 2272, 2457, 2549, 2603, 4778</v>
      </c>
    </row>
    <row r="8" spans="2:5" x14ac:dyDescent="0.25">
      <c r="B8" t="str">
        <v>Any Large Pizza - Up to 5 Toppings or Specialty</v>
      </c>
      <c r="C8" s="3" cm="1">
        <f t="array" ref="C8">IF(B8="","",COUNTA(_xlfn.UNIQUE(_xlfn._xlws.FILTER(Export[store],Export[offer]='Unique Offer Titles'!B8))))</f>
        <v>25</v>
      </c>
      <c r="D8" t="str" cm="1">
        <f t="array" ref="D8">IF(B8="","",_xlfn.TEXTJOIN(", ",TRUE,_xlfn.UNIQUE(_xlfn._xlws.FILTER(Export[[DO or Franchise Name  ]],Export[offer]='Unique Offer Titles'!B8))))</f>
        <v>Portland, Tacoma</v>
      </c>
      <c r="E8" t="str" cm="1">
        <f t="array" ref="E8">IF(B8="","",_xlfn.TEXTJOIN(", ",TRUE,_xlfn.UNIQUE(_xlfn._xlws.FILTER(Export[store],Export[offer]='Unique Offer Titles'!B8))))</f>
        <v>1740, 1743, 2172, 2174, 2236, 2272, 2457, 2549, 2603, 2953, 3498, 4778, 2208, 2325, 2478, 2612, 2687, 2921, 3015, 4405, 5293, 5296, 2306, 2618, 3479</v>
      </c>
    </row>
    <row r="9" spans="2:5" x14ac:dyDescent="0.25">
      <c r="B9" t="str">
        <v>Any 10" Only $10</v>
      </c>
      <c r="C9" s="3" cm="1">
        <f t="array" ref="C9">IF(B9="","",COUNTA(_xlfn.UNIQUE(_xlfn._xlws.FILTER(Export[store],Export[offer]='Unique Offer Titles'!B9))))</f>
        <v>26</v>
      </c>
      <c r="D9" t="str" cm="1">
        <f t="array" ref="D9">IF(B9="","",_xlfn.TEXTJOIN(", ",TRUE,_xlfn.UNIQUE(_xlfn._xlws.FILTER(Export[[DO or Franchise Name  ]],Export[offer]='Unique Offer Titles'!B9))))</f>
        <v>Portland, Tacoma</v>
      </c>
      <c r="E9" t="str" cm="1">
        <f t="array" ref="E9">IF(B9="","",_xlfn.TEXTJOIN(", ",TRUE,_xlfn.UNIQUE(_xlfn._xlws.FILTER(Export[store],Export[offer]='Unique Offer Titles'!B9))))</f>
        <v>1740, 1743, 2172, 2174, 2236, 2272, 2457, 2549, 2603, 2953, 3498, 4778, 2208, 2325, 2478, 2612, 2687, 2921, 3015, 4405, 5293, 5296, 2306, 2618, 3130, 3479</v>
      </c>
    </row>
    <row r="10" spans="2:5" x14ac:dyDescent="0.25">
      <c r="B10" t="str">
        <v>Any Medium Specialty Or 5-Topping</v>
      </c>
      <c r="C10" s="3" cm="1">
        <f t="array" ref="C10">IF(B10="","",COUNTA(_xlfn.UNIQUE(_xlfn._xlws.FILTER(Export[store],Export[offer]='Unique Offer Titles'!B10))))</f>
        <v>12</v>
      </c>
      <c r="D10" t="str" cm="1">
        <f t="array" ref="D10">IF(B10="","",_xlfn.TEXTJOIN(", ",TRUE,_xlfn.UNIQUE(_xlfn._xlws.FILTER(Export[[DO or Franchise Name  ]],Export[offer]='Unique Offer Titles'!B10))))</f>
        <v>Portland</v>
      </c>
      <c r="E10" t="str" cm="1">
        <f t="array" ref="E10">IF(B10="","",_xlfn.TEXTJOIN(", ",TRUE,_xlfn.UNIQUE(_xlfn._xlws.FILTER(Export[store],Export[offer]='Unique Offer Titles'!B10))))</f>
        <v>1740, 1743, 2172, 2174, 2236, 2272, 2457, 2549, 2603, 2953, 3498, 4778</v>
      </c>
    </row>
    <row r="11" spans="2:5" x14ac:dyDescent="0.25">
      <c r="B11" t="str">
        <v xml:space="preserve"> Extra Large 2-topping Pizza</v>
      </c>
      <c r="C11" s="3" cm="1">
        <f t="array" ref="C11">IF(B11="","",COUNTA(_xlfn.UNIQUE(_xlfn._xlws.FILTER(Export[store],Export[offer]='Unique Offer Titles'!B11))))</f>
        <v>12</v>
      </c>
      <c r="D11" t="str" cm="1">
        <f t="array" ref="D11">IF(B11="","",_xlfn.TEXTJOIN(", ",TRUE,_xlfn.UNIQUE(_xlfn._xlws.FILTER(Export[[DO or Franchise Name  ]],Export[offer]='Unique Offer Titles'!B11))))</f>
        <v>Portland</v>
      </c>
      <c r="E11" t="str" cm="1">
        <f t="array" ref="E11">IF(B11="","",_xlfn.TEXTJOIN(", ",TRUE,_xlfn.UNIQUE(_xlfn._xlws.FILTER(Export[store],Export[offer]='Unique Offer Titles'!B11))))</f>
        <v>1740, 1743, 2172, 2174, 2236, 2272, 2457, 2549, 2603, 2953, 3498, 4778</v>
      </c>
    </row>
    <row r="12" spans="2:5" x14ac:dyDescent="0.25">
      <c r="B12" t="str">
        <v>2 Large 2-Topping Pizzas</v>
      </c>
      <c r="C12" s="3" cm="1">
        <f t="array" ref="C12">IF(B12="","",COUNTA(_xlfn.UNIQUE(_xlfn._xlws.FILTER(Export[store],Export[offer]='Unique Offer Titles'!B12))))</f>
        <v>9</v>
      </c>
      <c r="D12" t="str" cm="1">
        <f t="array" ref="D12">IF(B12="","",_xlfn.TEXTJOIN(", ",TRUE,_xlfn.UNIQUE(_xlfn._xlws.FILTER(Export[[DO or Franchise Name  ]],Export[offer]='Unique Offer Titles'!B12))))</f>
        <v>Portland</v>
      </c>
      <c r="E12" t="str" cm="1">
        <f t="array" ref="E12">IF(B12="","",_xlfn.TEXTJOIN(", ",TRUE,_xlfn.UNIQUE(_xlfn._xlws.FILTER(Export[store],Export[offer]='Unique Offer Titles'!B12))))</f>
        <v>1740, 1743, 2172, 2174, 2272, 2457, 2549, 2603, 4778</v>
      </c>
    </row>
    <row r="13" spans="2:5" x14ac:dyDescent="0.25">
      <c r="B13" t="str">
        <v>Epic Stuffed Crust 1-Topping Pizza</v>
      </c>
      <c r="C13" s="3" cm="1">
        <f t="array" ref="C13">IF(B13="","",COUNTA(_xlfn.UNIQUE(_xlfn._xlws.FILTER(Export[store],Export[offer]='Unique Offer Titles'!B13))))</f>
        <v>26</v>
      </c>
      <c r="D13" t="str" cm="1">
        <f t="array" ref="D13">IF(B13="","",_xlfn.TEXTJOIN(", ",TRUE,_xlfn.UNIQUE(_xlfn._xlws.FILTER(Export[[DO or Franchise Name  ]],Export[offer]='Unique Offer Titles'!B13))))</f>
        <v>Portland, Tacoma</v>
      </c>
      <c r="E13" t="str" cm="1">
        <f t="array" ref="E13">IF(B13="","",_xlfn.TEXTJOIN(", ",TRUE,_xlfn.UNIQUE(_xlfn._xlws.FILTER(Export[store],Export[offer]='Unique Offer Titles'!B13))))</f>
        <v>1740, 1743, 2172, 2174, 2236, 2272, 2457, 2549, 2603, 2953, 3498, 4778, 2208, 2325, 2478, 2612, 2687, 2921, 3015, 4405, 5293, 5296, 2306, 2618, 3130, 3479</v>
      </c>
    </row>
    <row r="14" spans="2:5" x14ac:dyDescent="0.25">
      <c r="B14" t="str">
        <v>Family Special</v>
      </c>
      <c r="C14" s="3" cm="1">
        <f t="array" ref="C14">IF(B14="","",COUNTA(_xlfn.UNIQUE(_xlfn._xlws.FILTER(Export[store],Export[offer]='Unique Offer Titles'!B14))))</f>
        <v>26</v>
      </c>
      <c r="D14" t="str" cm="1">
        <f t="array" ref="D14">IF(B14="","",_xlfn.TEXTJOIN(", ",TRUE,_xlfn.UNIQUE(_xlfn._xlws.FILTER(Export[[DO or Franchise Name  ]],Export[offer]='Unique Offer Titles'!B14))))</f>
        <v>Portland, Tacoma</v>
      </c>
      <c r="E14" t="str" cm="1">
        <f t="array" ref="E14">IF(B14="","",_xlfn.TEXTJOIN(", ",TRUE,_xlfn.UNIQUE(_xlfn._xlws.FILTER(Export[store],Export[offer]='Unique Offer Titles'!B14))))</f>
        <v>1740, 1743, 2172, 2174, 2236, 2272, 2457, 2549, 2603, 2953, 3498, 4778, 2208, 2325, 2478, 2612, 2687, 2921, 3015, 4405, 5293, 5296, 2306, 2618, 3130, 3479</v>
      </c>
    </row>
    <row r="15" spans="2:5" x14ac:dyDescent="0.25">
      <c r="B15" t="str">
        <v>NY-Style 1-Topping Pizza</v>
      </c>
      <c r="C15" s="3" cm="1">
        <f t="array" ref="C15">IF(B15="","",COUNTA(_xlfn.UNIQUE(_xlfn._xlws.FILTER(Export[store],Export[offer]='Unique Offer Titles'!B15))))</f>
        <v>25</v>
      </c>
      <c r="D15" t="str" cm="1">
        <f t="array" ref="D15">IF(B15="","",_xlfn.TEXTJOIN(", ",TRUE,_xlfn.UNIQUE(_xlfn._xlws.FILTER(Export[[DO or Franchise Name  ]],Export[offer]='Unique Offer Titles'!B15))))</f>
        <v>Portland, Tacoma</v>
      </c>
      <c r="E15" t="str" cm="1">
        <f t="array" ref="E15">IF(B15="","",_xlfn.TEXTJOIN(", ",TRUE,_xlfn.UNIQUE(_xlfn._xlws.FILTER(Export[store],Export[offer]='Unique Offer Titles'!B15))))</f>
        <v>1740, 1743, 2172, 2174, 2236, 2272, 2457, 2549, 2603, 2953, 3498, 4778, 2208, 2325, 2478, 2612, 2687, 2921, 3015, 4405, 5293, 2306, 2618, 3130, 3479</v>
      </c>
    </row>
    <row r="16" spans="2:5" x14ac:dyDescent="0.25">
      <c r="B16" t="str">
        <v>Any Large EPIC STUFFED CRUST</v>
      </c>
      <c r="C16" s="3" cm="1">
        <f t="array" ref="C16">IF(B16="","",COUNTA(_xlfn.UNIQUE(_xlfn._xlws.FILTER(Export[store],Export[offer]='Unique Offer Titles'!B16))))</f>
        <v>9</v>
      </c>
      <c r="D16" t="str" cm="1">
        <f t="array" ref="D16">IF(B16="","",_xlfn.TEXTJOIN(", ",TRUE,_xlfn.UNIQUE(_xlfn._xlws.FILTER(Export[[DO or Franchise Name  ]],Export[offer]='Unique Offer Titles'!B16))))</f>
        <v>Portland</v>
      </c>
      <c r="E16" t="str" cm="1">
        <f t="array" ref="E16">IF(B16="","",_xlfn.TEXTJOIN(", ",TRUE,_xlfn.UNIQUE(_xlfn._xlws.FILTER(Export[store],Export[offer]='Unique Offer Titles'!B16))))</f>
        <v>1740, 1743, 2172, 2174, 2272, 2457, 2549, 2603, 4778</v>
      </c>
    </row>
    <row r="17" spans="2:5" x14ac:dyDescent="0.25">
      <c r="B17" t="str">
        <v>Crispy Cuppy 'Roni Papadia</v>
      </c>
      <c r="C17" s="3" cm="1">
        <f t="array" ref="C17">IF(B17="","",COUNTA(_xlfn.UNIQUE(_xlfn._xlws.FILTER(Export[store],Export[offer]='Unique Offer Titles'!B17))))</f>
        <v>26</v>
      </c>
      <c r="D17" t="str" cm="1">
        <f t="array" ref="D17">IF(B17="","",_xlfn.TEXTJOIN(", ",TRUE,_xlfn.UNIQUE(_xlfn._xlws.FILTER(Export[[DO or Franchise Name  ]],Export[offer]='Unique Offer Titles'!B17))))</f>
        <v>Portland, Tacoma</v>
      </c>
      <c r="E17" t="str" cm="1">
        <f t="array" ref="E17">IF(B17="","",_xlfn.TEXTJOIN(", ",TRUE,_xlfn.UNIQUE(_xlfn._xlws.FILTER(Export[store],Export[offer]='Unique Offer Titles'!B17))))</f>
        <v>1740, 1743, 2172, 2174, 2236, 2272, 2457, 2549, 2603, 2953, 3498, 4778, 2208, 2325, 2478, 2612, 2687, 2921, 3015, 4405, 5293, 5296, 2306, 2618, 3130, 3479</v>
      </c>
    </row>
    <row r="18" spans="2:5" x14ac:dyDescent="0.25">
      <c r="B18" t="str">
        <v>Crispy Cuppy 'Roni Papa Bites</v>
      </c>
      <c r="C18" s="3" cm="1">
        <f t="array" ref="C18">IF(B18="","",COUNTA(_xlfn.UNIQUE(_xlfn._xlws.FILTER(Export[store],Export[offer]='Unique Offer Titles'!B18))))</f>
        <v>26</v>
      </c>
      <c r="D18" t="str" cm="1">
        <f t="array" ref="D18">IF(B18="","",_xlfn.TEXTJOIN(", ",TRUE,_xlfn.UNIQUE(_xlfn._xlws.FILTER(Export[[DO or Franchise Name  ]],Export[offer]='Unique Offer Titles'!B18))))</f>
        <v>Portland, Tacoma</v>
      </c>
      <c r="E18" t="str" cm="1">
        <f t="array" ref="E18">IF(B18="","",_xlfn.TEXTJOIN(", ",TRUE,_xlfn.UNIQUE(_xlfn._xlws.FILTER(Export[store],Export[offer]='Unique Offer Titles'!B18))))</f>
        <v>1740, 1743, 2172, 2174, 2236, 2272, 2457, 2549, 2603, 2953, 3498, 4778, 2208, 2325, 2478, 2612, 2687, 2921, 3015, 4405, 5293, 5296, 2306, 2618, 3130, 3479</v>
      </c>
    </row>
    <row r="19" spans="2:5" x14ac:dyDescent="0.25">
      <c r="B19" t="str">
        <v>Free Delivery</v>
      </c>
      <c r="C19" s="3" cm="1">
        <f t="array" ref="C19">IF(B19="","",COUNTA(_xlfn.UNIQUE(_xlfn._xlws.FILTER(Export[store],Export[offer]='Unique Offer Titles'!B19))))</f>
        <v>26</v>
      </c>
      <c r="D19" t="str" cm="1">
        <f t="array" ref="D19">IF(B19="","",_xlfn.TEXTJOIN(", ",TRUE,_xlfn.UNIQUE(_xlfn._xlws.FILTER(Export[[DO or Franchise Name  ]],Export[offer]='Unique Offer Titles'!B19))))</f>
        <v>Portland, Tacoma</v>
      </c>
      <c r="E19" t="str" cm="1">
        <f t="array" ref="E19">IF(B19="","",_xlfn.TEXTJOIN(", ",TRUE,_xlfn.UNIQUE(_xlfn._xlws.FILTER(Export[store],Export[offer]='Unique Offer Titles'!B19))))</f>
        <v>1740, 1743, 2172, 2174, 2236, 2272, 2457, 2549, 2603, 2953, 3498, 4778, 2208, 2325, 2478, 2612, 2687, 2921, 3015, 4405, 5293, 5296, 2306, 2618, 3130, 3479</v>
      </c>
    </row>
    <row r="20" spans="2:5" x14ac:dyDescent="0.25">
      <c r="B20" t="str">
        <v>Carryout Offer  Large Specialty or 5-Topping Pizza</v>
      </c>
      <c r="C20" s="3" cm="1">
        <f t="array" ref="C20">IF(B20="","",COUNTA(_xlfn.UNIQUE(_xlfn._xlws.FILTER(Export[store],Export[offer]='Unique Offer Titles'!B20))))</f>
        <v>3</v>
      </c>
      <c r="D20" t="str" cm="1">
        <f t="array" ref="D20">IF(B20="","",_xlfn.TEXTJOIN(", ",TRUE,_xlfn.UNIQUE(_xlfn._xlws.FILTER(Export[[DO or Franchise Name  ]],Export[offer]='Unique Offer Titles'!B20))))</f>
        <v>Portland</v>
      </c>
      <c r="E20" t="str" cm="1">
        <f t="array" ref="E20">IF(B20="","",_xlfn.TEXTJOIN(", ",TRUE,_xlfn.UNIQUE(_xlfn._xlws.FILTER(Export[store],Export[offer]='Unique Offer Titles'!B20))))</f>
        <v>2236, 2953, 3498</v>
      </c>
    </row>
    <row r="21" spans="2:5" x14ac:dyDescent="0.25">
      <c r="B21" t="str">
        <v>Stuffed Crust Specialty or up to 5 Topping</v>
      </c>
      <c r="C21" s="3" cm="1">
        <f t="array" ref="C21">IF(B21="","",COUNTA(_xlfn.UNIQUE(_xlfn._xlws.FILTER(Export[store],Export[offer]='Unique Offer Titles'!B21))))</f>
        <v>3</v>
      </c>
      <c r="D21" t="str" cm="1">
        <f t="array" ref="D21">IF(B21="","",_xlfn.TEXTJOIN(", ",TRUE,_xlfn.UNIQUE(_xlfn._xlws.FILTER(Export[[DO or Franchise Name  ]],Export[offer]='Unique Offer Titles'!B21))))</f>
        <v>Portland</v>
      </c>
      <c r="E21" t="str" cm="1">
        <f t="array" ref="E21">IF(B21="","",_xlfn.TEXTJOIN(", ",TRUE,_xlfn.UNIQUE(_xlfn._xlws.FILTER(Export[store],Export[offer]='Unique Offer Titles'!B21))))</f>
        <v>2236, 2953, 3498</v>
      </c>
    </row>
    <row r="22" spans="2:5" x14ac:dyDescent="0.25">
      <c r="B22" t="str">
        <v>Papa's Double Take</v>
      </c>
      <c r="C22" s="3" cm="1">
        <f t="array" ref="C22">IF(B22="","",COUNTA(_xlfn.UNIQUE(_xlfn._xlws.FILTER(Export[store],Export[offer]='Unique Offer Titles'!B22))))</f>
        <v>3</v>
      </c>
      <c r="D22" t="str" cm="1">
        <f t="array" ref="D22">IF(B22="","",_xlfn.TEXTJOIN(", ",TRUE,_xlfn.UNIQUE(_xlfn._xlws.FILTER(Export[[DO or Franchise Name  ]],Export[offer]='Unique Offer Titles'!B22))))</f>
        <v>Portland</v>
      </c>
      <c r="E22" t="str" cm="1">
        <f t="array" ref="E22">IF(B22="","",_xlfn.TEXTJOIN(", ",TRUE,_xlfn.UNIQUE(_xlfn._xlws.FILTER(Export[store],Export[offer]='Unique Offer Titles'!B22))))</f>
        <v>2236, 2953, 3498</v>
      </c>
    </row>
    <row r="23" spans="2:5" x14ac:dyDescent="0.25">
      <c r="B23" t="str">
        <v>Carryout ONLY! Large Specialty Pizza</v>
      </c>
      <c r="C23" s="3" cm="1">
        <f t="array" ref="C23">IF(B23="","",COUNTA(_xlfn.UNIQUE(_xlfn._xlws.FILTER(Export[store],Export[offer]='Unique Offer Titles'!B23))))</f>
        <v>13</v>
      </c>
      <c r="D23" t="str" cm="1">
        <f t="array" ref="D23">IF(B23="","",_xlfn.TEXTJOIN(", ",TRUE,_xlfn.UNIQUE(_xlfn._xlws.FILTER(Export[[DO or Franchise Name  ]],Export[offer]='Unique Offer Titles'!B23))))</f>
        <v>Tacoma</v>
      </c>
      <c r="E23" t="str" cm="1">
        <f t="array" ref="E23">IF(B23="","",_xlfn.TEXTJOIN(", ",TRUE,_xlfn.UNIQUE(_xlfn._xlws.FILTER(Export[store],Export[offer]='Unique Offer Titles'!B23))))</f>
        <v>2208, 2325, 2478, 2612, 2687, 2921, 3015, 4405, 5293, 5296, 2306, 2618, 3479</v>
      </c>
    </row>
    <row r="24" spans="2:5" x14ac:dyDescent="0.25">
      <c r="B24" t="str">
        <v>Two Pizza Deal</v>
      </c>
      <c r="C24" s="3" cm="1">
        <f t="array" ref="C24">IF(B24="","",COUNTA(_xlfn.UNIQUE(_xlfn._xlws.FILTER(Export[store],Export[offer]='Unique Offer Titles'!B24))))</f>
        <v>14</v>
      </c>
      <c r="D24" t="str" cm="1">
        <f t="array" ref="D24">IF(B24="","",_xlfn.TEXTJOIN(", ",TRUE,_xlfn.UNIQUE(_xlfn._xlws.FILTER(Export[[DO or Franchise Name  ]],Export[offer]='Unique Offer Titles'!B24))))</f>
        <v>Tacoma</v>
      </c>
      <c r="E24" t="str" cm="1">
        <f t="array" ref="E24">IF(B24="","",_xlfn.TEXTJOIN(", ",TRUE,_xlfn.UNIQUE(_xlfn._xlws.FILTER(Export[store],Export[offer]='Unique Offer Titles'!B24))))</f>
        <v>2208, 2325, 2478, 2612, 2687, 2921, 3015, 4405, 5293, 5296, 2306, 2618, 3130, 3479</v>
      </c>
    </row>
    <row r="25" spans="2:5" x14ac:dyDescent="0.25">
      <c r="B25" t="str">
        <v>30% OFF - TOYS FOR KIDS</v>
      </c>
      <c r="C25" s="3" cm="1">
        <f t="array" ref="C25">IF(B25="","",COUNTA(_xlfn.UNIQUE(_xlfn._xlws.FILTER(Export[store],Export[offer]='Unique Offer Titles'!B25))))</f>
        <v>14</v>
      </c>
      <c r="D25" t="str" cm="1">
        <f t="array" ref="D25">IF(B25="","",_xlfn.TEXTJOIN(", ",TRUE,_xlfn.UNIQUE(_xlfn._xlws.FILTER(Export[[DO or Franchise Name  ]],Export[offer]='Unique Offer Titles'!B25))))</f>
        <v>Tacoma</v>
      </c>
      <c r="E25" t="str" cm="1">
        <f t="array" ref="E25">IF(B25="","",_xlfn.TEXTJOIN(", ",TRUE,_xlfn.UNIQUE(_xlfn._xlws.FILTER(Export[store],Export[offer]='Unique Offer Titles'!B25))))</f>
        <v>2208, 2325, 2478, 2612, 2687, 2921, 3015, 4405, 5293, 5296, 2306, 2618, 3130, 3479</v>
      </c>
    </row>
    <row r="26" spans="2:5" x14ac:dyDescent="0.25">
      <c r="B26" t="str">
        <v>Carryout Special</v>
      </c>
      <c r="C26" s="3" cm="1">
        <f t="array" ref="C26">IF(B26="","",COUNTA(_xlfn.UNIQUE(_xlfn._xlws.FILTER(Export[store],Export[offer]='Unique Offer Titles'!B26))))</f>
        <v>1</v>
      </c>
      <c r="D26" t="str" cm="1">
        <f t="array" ref="D26">IF(B26="","",_xlfn.TEXTJOIN(", ",TRUE,_xlfn.UNIQUE(_xlfn._xlws.FILTER(Export[[DO or Franchise Name  ]],Export[offer]='Unique Offer Titles'!B26))))</f>
        <v/>
      </c>
      <c r="E26" t="str" cm="1">
        <f t="array" ref="E26">IF(B26="","",_xlfn.TEXTJOIN(", ",TRUE,_xlfn.UNIQUE(_xlfn._xlws.FILTER(Export[store],Export[offer]='Unique Offer Titles'!B26))))</f>
        <v>3130</v>
      </c>
    </row>
    <row r="27" spans="2:5" x14ac:dyDescent="0.25">
      <c r="B27" t="str">
        <v>Carryout Only- Large Specialty or 5-Topping Pizza</v>
      </c>
      <c r="C27" s="3" cm="1">
        <f t="array" ref="C27">IF(B27="","",COUNTA(_xlfn.UNIQUE(_xlfn._xlws.FILTER(Export[store],Export[offer]='Unique Offer Titles'!B27))))</f>
        <v>1</v>
      </c>
      <c r="D27" t="str" cm="1">
        <f t="array" ref="D27">IF(B27="","",_xlfn.TEXTJOIN(", ",TRUE,_xlfn.UNIQUE(_xlfn._xlws.FILTER(Export[[DO or Franchise Name  ]],Export[offer]='Unique Offer Titles'!B27))))</f>
        <v/>
      </c>
      <c r="E27" t="str" cm="1">
        <f t="array" ref="E27">IF(B27="","",_xlfn.TEXTJOIN(", ",TRUE,_xlfn.UNIQUE(_xlfn._xlws.FILTER(Export[store],Export[offer]='Unique Offer Titles'!B27))))</f>
        <v>3130</v>
      </c>
    </row>
    <row r="28" spans="2:5" x14ac:dyDescent="0.25">
      <c r="B28" t="str">
        <v>Any Large Pizza</v>
      </c>
      <c r="C28" s="3" cm="1">
        <f t="array" ref="C28">IF(B28="","",COUNTA(_xlfn.UNIQUE(_xlfn._xlws.FILTER(Export[store],Export[offer]='Unique Offer Titles'!B28))))</f>
        <v>1</v>
      </c>
      <c r="D28" t="str" cm="1">
        <f t="array" ref="D28">IF(B28="","",_xlfn.TEXTJOIN(", ",TRUE,_xlfn.UNIQUE(_xlfn._xlws.FILTER(Export[[DO or Franchise Name  ]],Export[offer]='Unique Offer Titles'!B28))))</f>
        <v/>
      </c>
      <c r="E28" t="str" cm="1">
        <f t="array" ref="E28">IF(B28="","",_xlfn.TEXTJOIN(", ",TRUE,_xlfn.UNIQUE(_xlfn._xlws.FILTER(Export[store],Export[offer]='Unique Offer Titles'!B28))))</f>
        <v>3130</v>
      </c>
    </row>
    <row r="29" spans="2:5" x14ac:dyDescent="0.25">
      <c r="C29" s="3" t="str" cm="1">
        <f t="array" ref="C29">IF(B29="","",COUNTA(_xlfn.UNIQUE(_xlfn._xlws.FILTER(Export[store],Export[offer]='Unique Offer Titles'!B29))))</f>
        <v/>
      </c>
      <c r="D29" t="str" cm="1">
        <f t="array" ref="D29">IF(B29="","",_xlfn.TEXTJOIN(", ",TRUE,_xlfn.UNIQUE(_xlfn._xlws.FILTER(Export[[DO or Franchise Name  ]],Export[offer]='Unique Offer Titles'!B29))))</f>
        <v/>
      </c>
      <c r="E29" t="str" cm="1">
        <f t="array" ref="E29">IF(B29="","",_xlfn.TEXTJOIN(", ",TRUE,_xlfn.UNIQUE(_xlfn._xlws.FILTER(Export[store],Export[offer]='Unique Offer Titles'!B29))))</f>
        <v/>
      </c>
    </row>
    <row r="30" spans="2:5" x14ac:dyDescent="0.25">
      <c r="C30" s="3" t="str" cm="1">
        <f t="array" ref="C30">IF(B30="","",COUNTA(_xlfn.UNIQUE(_xlfn._xlws.FILTER(Export[store],Export[offer]='Unique Offer Titles'!B30))))</f>
        <v/>
      </c>
      <c r="D30" t="str" cm="1">
        <f t="array" ref="D30">IF(B30="","",_xlfn.TEXTJOIN(", ",TRUE,_xlfn.UNIQUE(_xlfn._xlws.FILTER(Export[[DO or Franchise Name  ]],Export[offer]='Unique Offer Titles'!B30))))</f>
        <v/>
      </c>
      <c r="E30" t="str" cm="1">
        <f t="array" ref="E30">IF(B30="","",_xlfn.TEXTJOIN(", ",TRUE,_xlfn.UNIQUE(_xlfn._xlws.FILTER(Export[store],Export[offer]='Unique Offer Titles'!B30))))</f>
        <v/>
      </c>
    </row>
    <row r="31" spans="2:5" x14ac:dyDescent="0.25">
      <c r="C31" s="3" t="str" cm="1">
        <f t="array" ref="C31">IF(B31="","",COUNTA(_xlfn.UNIQUE(_xlfn._xlws.FILTER(Export[store],Export[offer]='Unique Offer Titles'!B31))))</f>
        <v/>
      </c>
      <c r="D31" t="str" cm="1">
        <f t="array" ref="D31">IF(B31="","",_xlfn.TEXTJOIN(", ",TRUE,_xlfn.UNIQUE(_xlfn._xlws.FILTER(Export[[DO or Franchise Name  ]],Export[offer]='Unique Offer Titles'!B31))))</f>
        <v/>
      </c>
      <c r="E31" t="str" cm="1">
        <f t="array" ref="E31">IF(B31="","",_xlfn.TEXTJOIN(", ",TRUE,_xlfn.UNIQUE(_xlfn._xlws.FILTER(Export[store],Export[offer]='Unique Offer Titles'!B31))))</f>
        <v/>
      </c>
    </row>
    <row r="32" spans="2:5" x14ac:dyDescent="0.25">
      <c r="C32" s="3" t="str" cm="1">
        <f t="array" ref="C32">IF(B32="","",COUNTA(_xlfn.UNIQUE(_xlfn._xlws.FILTER(Export[store],Export[offer]='Unique Offer Titles'!B32))))</f>
        <v/>
      </c>
      <c r="D32" t="str" cm="1">
        <f t="array" ref="D32">IF(B32="","",_xlfn.TEXTJOIN(", ",TRUE,_xlfn.UNIQUE(_xlfn._xlws.FILTER(Export[[DO or Franchise Name  ]],Export[offer]='Unique Offer Titles'!B32))))</f>
        <v/>
      </c>
      <c r="E32" t="str" cm="1">
        <f t="array" ref="E32">IF(B32="","",_xlfn.TEXTJOIN(", ",TRUE,_xlfn.UNIQUE(_xlfn._xlws.FILTER(Export[store],Export[offer]='Unique Offer Titles'!B32))))</f>
        <v/>
      </c>
    </row>
    <row r="33" spans="3:5" x14ac:dyDescent="0.25">
      <c r="C33" s="3" t="str" cm="1">
        <f t="array" ref="C33">IF(B33="","",COUNTA(_xlfn.UNIQUE(_xlfn._xlws.FILTER(Export[store],Export[offer]='Unique Offer Titles'!B33))))</f>
        <v/>
      </c>
      <c r="D33" t="str" cm="1">
        <f t="array" ref="D33">IF(B33="","",_xlfn.TEXTJOIN(", ",TRUE,_xlfn.UNIQUE(_xlfn._xlws.FILTER(Export[[DO or Franchise Name  ]],Export[offer]='Unique Offer Titles'!B33))))</f>
        <v/>
      </c>
      <c r="E33" t="str" cm="1">
        <f t="array" ref="E33">IF(B33="","",_xlfn.TEXTJOIN(", ",TRUE,_xlfn.UNIQUE(_xlfn._xlws.FILTER(Export[store],Export[offer]='Unique Offer Titles'!B33))))</f>
        <v/>
      </c>
    </row>
    <row r="34" spans="3:5" x14ac:dyDescent="0.25">
      <c r="C34" s="3" t="str" cm="1">
        <f t="array" ref="C34">IF(B34="","",COUNTA(_xlfn.UNIQUE(_xlfn._xlws.FILTER(Export[store],Export[offer]='Unique Offer Titles'!B34))))</f>
        <v/>
      </c>
      <c r="D34" t="str" cm="1">
        <f t="array" ref="D34">IF(B34="","",_xlfn.TEXTJOIN(", ",TRUE,_xlfn.UNIQUE(_xlfn._xlws.FILTER(Export[[DO or Franchise Name  ]],Export[offer]='Unique Offer Titles'!B34))))</f>
        <v/>
      </c>
      <c r="E34" t="str" cm="1">
        <f t="array" ref="E34">IF(B34="","",_xlfn.TEXTJOIN(", ",TRUE,_xlfn.UNIQUE(_xlfn._xlws.FILTER(Export[store],Export[offer]='Unique Offer Titles'!B34))))</f>
        <v/>
      </c>
    </row>
    <row r="35" spans="3:5" x14ac:dyDescent="0.25">
      <c r="C35" s="3" t="str" cm="1">
        <f t="array" ref="C35">IF(B35="","",COUNTA(_xlfn.UNIQUE(_xlfn._xlws.FILTER(Export[store],Export[offer]='Unique Offer Titles'!B35))))</f>
        <v/>
      </c>
      <c r="D35" t="str" cm="1">
        <f t="array" ref="D35">IF(B35="","",_xlfn.TEXTJOIN(", ",TRUE,_xlfn.UNIQUE(_xlfn._xlws.FILTER(Export[[DO or Franchise Name  ]],Export[offer]='Unique Offer Titles'!B35))))</f>
        <v/>
      </c>
      <c r="E35" t="str" cm="1">
        <f t="array" ref="E35">IF(B35="","",_xlfn.TEXTJOIN(", ",TRUE,_xlfn.UNIQUE(_xlfn._xlws.FILTER(Export[store],Export[offer]='Unique Offer Titles'!B35))))</f>
        <v/>
      </c>
    </row>
    <row r="36" spans="3:5" x14ac:dyDescent="0.25">
      <c r="C36" s="3" t="str" cm="1">
        <f t="array" ref="C36">IF(B36="","",COUNTA(_xlfn.UNIQUE(_xlfn._xlws.FILTER(Export[store],Export[offer]='Unique Offer Titles'!B36))))</f>
        <v/>
      </c>
      <c r="D36" t="str" cm="1">
        <f t="array" ref="D36">IF(B36="","",_xlfn.TEXTJOIN(", ",TRUE,_xlfn.UNIQUE(_xlfn._xlws.FILTER(Export[[DO or Franchise Name  ]],Export[offer]='Unique Offer Titles'!B36))))</f>
        <v/>
      </c>
      <c r="E36" t="str" cm="1">
        <f t="array" ref="E36">IF(B36="","",_xlfn.TEXTJOIN(", ",TRUE,_xlfn.UNIQUE(_xlfn._xlws.FILTER(Export[store],Export[offer]='Unique Offer Titles'!B36))))</f>
        <v/>
      </c>
    </row>
    <row r="37" spans="3:5" x14ac:dyDescent="0.25">
      <c r="C37" s="3" t="str" cm="1">
        <f t="array" ref="C37">IF(B37="","",COUNTA(_xlfn.UNIQUE(_xlfn._xlws.FILTER(Export[store],Export[offer]='Unique Offer Titles'!B37))))</f>
        <v/>
      </c>
      <c r="D37" t="str" cm="1">
        <f t="array" ref="D37">IF(B37="","",_xlfn.TEXTJOIN(", ",TRUE,_xlfn.UNIQUE(_xlfn._xlws.FILTER(Export[[DO or Franchise Name  ]],Export[offer]='Unique Offer Titles'!B37))))</f>
        <v/>
      </c>
      <c r="E37" t="str" cm="1">
        <f t="array" ref="E37">IF(B37="","",_xlfn.TEXTJOIN(", ",TRUE,_xlfn.UNIQUE(_xlfn._xlws.FILTER(Export[store],Export[offer]='Unique Offer Titles'!B37))))</f>
        <v/>
      </c>
    </row>
    <row r="38" spans="3:5" x14ac:dyDescent="0.25">
      <c r="C38" s="3" t="str" cm="1">
        <f t="array" ref="C38">IF(B38="","",COUNTA(_xlfn.UNIQUE(_xlfn._xlws.FILTER(Export[store],Export[offer]='Unique Offer Titles'!B38))))</f>
        <v/>
      </c>
      <c r="D38" t="str" cm="1">
        <f t="array" ref="D38">IF(B38="","",_xlfn.TEXTJOIN(", ",TRUE,_xlfn.UNIQUE(_xlfn._xlws.FILTER(Export[[DO or Franchise Name  ]],Export[offer]='Unique Offer Titles'!B38))))</f>
        <v/>
      </c>
      <c r="E38" t="str" cm="1">
        <f t="array" ref="E38">IF(B38="","",_xlfn.TEXTJOIN(", ",TRUE,_xlfn.UNIQUE(_xlfn._xlws.FILTER(Export[store],Export[offer]='Unique Offer Titles'!B38))))</f>
        <v/>
      </c>
    </row>
    <row r="39" spans="3:5" x14ac:dyDescent="0.25">
      <c r="C39" s="3" t="str" cm="1">
        <f t="array" ref="C39">IF(B39="","",COUNTA(_xlfn.UNIQUE(_xlfn._xlws.FILTER(Export[store],Export[offer]='Unique Offer Titles'!B39))))</f>
        <v/>
      </c>
      <c r="D39" t="str" cm="1">
        <f t="array" ref="D39">IF(B39="","",_xlfn.TEXTJOIN(", ",TRUE,_xlfn.UNIQUE(_xlfn._xlws.FILTER(Export[[DO or Franchise Name  ]],Export[offer]='Unique Offer Titles'!B39))))</f>
        <v/>
      </c>
      <c r="E39" t="str" cm="1">
        <f t="array" ref="E39">IF(B39="","",_xlfn.TEXTJOIN(", ",TRUE,_xlfn.UNIQUE(_xlfn._xlws.FILTER(Export[store],Export[offer]='Unique Offer Titles'!B39))))</f>
        <v/>
      </c>
    </row>
    <row r="40" spans="3:5" x14ac:dyDescent="0.25">
      <c r="C40" s="3" t="str" cm="1">
        <f t="array" ref="C40">IF(B40="","",COUNTA(_xlfn.UNIQUE(_xlfn._xlws.FILTER(Export[store],Export[offer]='Unique Offer Titles'!B40))))</f>
        <v/>
      </c>
      <c r="D40" t="str" cm="1">
        <f t="array" ref="D40">IF(B40="","",_xlfn.TEXTJOIN(", ",TRUE,_xlfn.UNIQUE(_xlfn._xlws.FILTER(Export[[DO or Franchise Name  ]],Export[offer]='Unique Offer Titles'!B40))))</f>
        <v/>
      </c>
      <c r="E40" t="str" cm="1">
        <f t="array" ref="E40">IF(B40="","",_xlfn.TEXTJOIN(", ",TRUE,_xlfn.UNIQUE(_xlfn._xlws.FILTER(Export[store],Export[offer]='Unique Offer Titles'!B40))))</f>
        <v/>
      </c>
    </row>
    <row r="41" spans="3:5" x14ac:dyDescent="0.25">
      <c r="C41" s="3" t="str" cm="1">
        <f t="array" ref="C41">IF(B41="","",COUNTA(_xlfn.UNIQUE(_xlfn._xlws.FILTER(Export[store],Export[offer]='Unique Offer Titles'!B41))))</f>
        <v/>
      </c>
      <c r="D41" t="str" cm="1">
        <f t="array" ref="D41">IF(B41="","",_xlfn.TEXTJOIN(", ",TRUE,_xlfn.UNIQUE(_xlfn._xlws.FILTER(Export[[DO or Franchise Name  ]],Export[offer]='Unique Offer Titles'!B41))))</f>
        <v/>
      </c>
      <c r="E41" t="str" cm="1">
        <f t="array" ref="E41">IF(B41="","",_xlfn.TEXTJOIN(", ",TRUE,_xlfn.UNIQUE(_xlfn._xlws.FILTER(Export[store],Export[offer]='Unique Offer Titles'!B41))))</f>
        <v/>
      </c>
    </row>
    <row r="42" spans="3:5" x14ac:dyDescent="0.25">
      <c r="C42" s="3" t="str" cm="1">
        <f t="array" ref="C42">IF(B42="","",COUNTA(_xlfn.UNIQUE(_xlfn._xlws.FILTER(Export[store],Export[offer]='Unique Offer Titles'!B42))))</f>
        <v/>
      </c>
      <c r="D42" t="str" cm="1">
        <f t="array" ref="D42">IF(B42="","",_xlfn.TEXTJOIN(", ",TRUE,_xlfn.UNIQUE(_xlfn._xlws.FILTER(Export[[DO or Franchise Name  ]],Export[offer]='Unique Offer Titles'!B42))))</f>
        <v/>
      </c>
      <c r="E42" t="str" cm="1">
        <f t="array" ref="E42">IF(B42="","",_xlfn.TEXTJOIN(", ",TRUE,_xlfn.UNIQUE(_xlfn._xlws.FILTER(Export[store],Export[offer]='Unique Offer Titles'!B42))))</f>
        <v/>
      </c>
    </row>
    <row r="43" spans="3:5" x14ac:dyDescent="0.25">
      <c r="C43" s="3" t="str" cm="1">
        <f t="array" ref="C43">IF(B43="","",COUNTA(_xlfn.UNIQUE(_xlfn._xlws.FILTER(Export[store],Export[offer]='Unique Offer Titles'!B43))))</f>
        <v/>
      </c>
      <c r="D43" t="str" cm="1">
        <f t="array" ref="D43">IF(B43="","",_xlfn.TEXTJOIN(", ",TRUE,_xlfn.UNIQUE(_xlfn._xlws.FILTER(Export[[DO or Franchise Name  ]],Export[offer]='Unique Offer Titles'!B43))))</f>
        <v/>
      </c>
      <c r="E43" t="str" cm="1">
        <f t="array" ref="E43">IF(B43="","",_xlfn.TEXTJOIN(", ",TRUE,_xlfn.UNIQUE(_xlfn._xlws.FILTER(Export[store],Export[offer]='Unique Offer Titles'!B43))))</f>
        <v/>
      </c>
    </row>
    <row r="44" spans="3:5" x14ac:dyDescent="0.25">
      <c r="C44" s="3" t="str" cm="1">
        <f t="array" ref="C44">IF(B44="","",COUNTA(_xlfn.UNIQUE(_xlfn._xlws.FILTER(Export[store],Export[offer]='Unique Offer Titles'!B44))))</f>
        <v/>
      </c>
      <c r="D44" t="str" cm="1">
        <f t="array" ref="D44">IF(B44="","",_xlfn.TEXTJOIN(", ",TRUE,_xlfn.UNIQUE(_xlfn._xlws.FILTER(Export[[DO or Franchise Name  ]],Export[offer]='Unique Offer Titles'!B44))))</f>
        <v/>
      </c>
      <c r="E44" t="str" cm="1">
        <f t="array" ref="E44">IF(B44="","",_xlfn.TEXTJOIN(", ",TRUE,_xlfn.UNIQUE(_xlfn._xlws.FILTER(Export[store],Export[offer]='Unique Offer Titles'!B44))))</f>
        <v/>
      </c>
    </row>
    <row r="45" spans="3:5" x14ac:dyDescent="0.25">
      <c r="C45" s="3" t="str" cm="1">
        <f t="array" ref="C45">IF(B45="","",COUNTA(_xlfn.UNIQUE(_xlfn._xlws.FILTER(Export[store],Export[offer]='Unique Offer Titles'!B45))))</f>
        <v/>
      </c>
      <c r="D45" t="str" cm="1">
        <f t="array" ref="D45">IF(B45="","",_xlfn.TEXTJOIN(", ",TRUE,_xlfn.UNIQUE(_xlfn._xlws.FILTER(Export[[DO or Franchise Name  ]],Export[offer]='Unique Offer Titles'!B45))))</f>
        <v/>
      </c>
      <c r="E45" t="str" cm="1">
        <f t="array" ref="E45">IF(B45="","",_xlfn.TEXTJOIN(", ",TRUE,_xlfn.UNIQUE(_xlfn._xlws.FILTER(Export[store],Export[offer]='Unique Offer Titles'!B45))))</f>
        <v/>
      </c>
    </row>
    <row r="46" spans="3:5" x14ac:dyDescent="0.25">
      <c r="C46" s="3" t="str" cm="1">
        <f t="array" ref="C46">IF(B46="","",COUNTA(_xlfn.UNIQUE(_xlfn._xlws.FILTER(Export[store],Export[offer]='Unique Offer Titles'!B46))))</f>
        <v/>
      </c>
      <c r="D46" t="str" cm="1">
        <f t="array" ref="D46">IF(B46="","",_xlfn.TEXTJOIN(", ",TRUE,_xlfn.UNIQUE(_xlfn._xlws.FILTER(Export[[DO or Franchise Name  ]],Export[offer]='Unique Offer Titles'!B46))))</f>
        <v/>
      </c>
      <c r="E46" t="str" cm="1">
        <f t="array" ref="E46">IF(B46="","",_xlfn.TEXTJOIN(", ",TRUE,_xlfn.UNIQUE(_xlfn._xlws.FILTER(Export[store],Export[offer]='Unique Offer Titles'!B46))))</f>
        <v/>
      </c>
    </row>
    <row r="47" spans="3:5" x14ac:dyDescent="0.25">
      <c r="C47" s="3" t="str" cm="1">
        <f t="array" ref="C47">IF(B47="","",COUNTA(_xlfn.UNIQUE(_xlfn._xlws.FILTER(Export[store],Export[offer]='Unique Offer Titles'!B47))))</f>
        <v/>
      </c>
      <c r="D47" t="str" cm="1">
        <f t="array" ref="D47">IF(B47="","",_xlfn.TEXTJOIN(", ",TRUE,_xlfn.UNIQUE(_xlfn._xlws.FILTER(Export[[DO or Franchise Name  ]],Export[offer]='Unique Offer Titles'!B47))))</f>
        <v/>
      </c>
      <c r="E47" t="str" cm="1">
        <f t="array" ref="E47">IF(B47="","",_xlfn.TEXTJOIN(", ",TRUE,_xlfn.UNIQUE(_xlfn._xlws.FILTER(Export[store],Export[offer]='Unique Offer Titles'!B47))))</f>
        <v/>
      </c>
    </row>
    <row r="48" spans="3:5" x14ac:dyDescent="0.25">
      <c r="C48" s="3" t="str" cm="1">
        <f t="array" ref="C48">IF(B48="","",COUNTA(_xlfn.UNIQUE(_xlfn._xlws.FILTER(Export[store],Export[offer]='Unique Offer Titles'!B48))))</f>
        <v/>
      </c>
      <c r="D48" t="str" cm="1">
        <f t="array" ref="D48">IF(B48="","",_xlfn.TEXTJOIN(", ",TRUE,_xlfn.UNIQUE(_xlfn._xlws.FILTER(Export[[DO or Franchise Name  ]],Export[offer]='Unique Offer Titles'!B48))))</f>
        <v/>
      </c>
      <c r="E48" t="str" cm="1">
        <f t="array" ref="E48">IF(B48="","",_xlfn.TEXTJOIN(", ",TRUE,_xlfn.UNIQUE(_xlfn._xlws.FILTER(Export[store],Export[offer]='Unique Offer Titles'!B48))))</f>
        <v/>
      </c>
    </row>
    <row r="49" spans="3:5" x14ac:dyDescent="0.25">
      <c r="C49" s="3" t="str" cm="1">
        <f t="array" ref="C49">IF(B49="","",COUNTA(_xlfn.UNIQUE(_xlfn._xlws.FILTER(Export[store],Export[offer]='Unique Offer Titles'!B49))))</f>
        <v/>
      </c>
      <c r="D49" t="str" cm="1">
        <f t="array" ref="D49">IF(B49="","",_xlfn.TEXTJOIN(", ",TRUE,_xlfn.UNIQUE(_xlfn._xlws.FILTER(Export[[DO or Franchise Name  ]],Export[offer]='Unique Offer Titles'!B49))))</f>
        <v/>
      </c>
      <c r="E49" t="str" cm="1">
        <f t="array" ref="E49">IF(B49="","",_xlfn.TEXTJOIN(", ",TRUE,_xlfn.UNIQUE(_xlfn._xlws.FILTER(Export[store],Export[offer]='Unique Offer Titles'!B49))))</f>
        <v/>
      </c>
    </row>
    <row r="50" spans="3:5" x14ac:dyDescent="0.25">
      <c r="C50" s="3" t="str" cm="1">
        <f t="array" ref="C50">IF(B50="","",COUNTA(_xlfn.UNIQUE(_xlfn._xlws.FILTER(Export[store],Export[offer]='Unique Offer Titles'!B50))))</f>
        <v/>
      </c>
      <c r="D50" t="str" cm="1">
        <f t="array" ref="D50">IF(B50="","",_xlfn.TEXTJOIN(", ",TRUE,_xlfn.UNIQUE(_xlfn._xlws.FILTER(Export[[DO or Franchise Name  ]],Export[offer]='Unique Offer Titles'!B50))))</f>
        <v/>
      </c>
      <c r="E50" t="str" cm="1">
        <f t="array" ref="E50">IF(B50="","",_xlfn.TEXTJOIN(", ",TRUE,_xlfn.UNIQUE(_xlfn._xlws.FILTER(Export[store],Export[offer]='Unique Offer Titles'!B50))))</f>
        <v/>
      </c>
    </row>
    <row r="51" spans="3:5" x14ac:dyDescent="0.25">
      <c r="C51" s="3" t="str" cm="1">
        <f t="array" ref="C51">IF(B51="","",COUNTA(_xlfn.UNIQUE(_xlfn._xlws.FILTER(Export[store],Export[offer]='Unique Offer Titles'!B51))))</f>
        <v/>
      </c>
      <c r="D51" t="str" cm="1">
        <f t="array" ref="D51">IF(B51="","",_xlfn.TEXTJOIN(", ",TRUE,_xlfn.UNIQUE(_xlfn._xlws.FILTER(Export[[DO or Franchise Name  ]],Export[offer]='Unique Offer Titles'!B51))))</f>
        <v/>
      </c>
      <c r="E51" t="str" cm="1">
        <f t="array" ref="E51">IF(B51="","",_xlfn.TEXTJOIN(", ",TRUE,_xlfn.UNIQUE(_xlfn._xlws.FILTER(Export[store],Export[offer]='Unique Offer Titles'!B51))))</f>
        <v/>
      </c>
    </row>
    <row r="52" spans="3:5" x14ac:dyDescent="0.25">
      <c r="C52" s="3" t="str" cm="1">
        <f t="array" ref="C52">IF(B52="","",COUNTA(_xlfn.UNIQUE(_xlfn._xlws.FILTER(Export[store],Export[offer]='Unique Offer Titles'!B52))))</f>
        <v/>
      </c>
      <c r="D52" t="str" cm="1">
        <f t="array" ref="D52">IF(B52="","",_xlfn.TEXTJOIN(", ",TRUE,_xlfn.UNIQUE(_xlfn._xlws.FILTER(Export[[DO or Franchise Name  ]],Export[offer]='Unique Offer Titles'!B52))))</f>
        <v/>
      </c>
      <c r="E52" t="str" cm="1">
        <f t="array" ref="E52">IF(B52="","",_xlfn.TEXTJOIN(", ",TRUE,_xlfn.UNIQUE(_xlfn._xlws.FILTER(Export[store],Export[offer]='Unique Offer Titles'!B52))))</f>
        <v/>
      </c>
    </row>
    <row r="53" spans="3:5" x14ac:dyDescent="0.25">
      <c r="C53" s="3" t="str" cm="1">
        <f t="array" ref="C53">IF(B53="","",COUNTA(_xlfn.UNIQUE(_xlfn._xlws.FILTER(Export[store],Export[offer]='Unique Offer Titles'!B53))))</f>
        <v/>
      </c>
      <c r="D53" t="str" cm="1">
        <f t="array" ref="D53">IF(B53="","",_xlfn.TEXTJOIN(", ",TRUE,_xlfn.UNIQUE(_xlfn._xlws.FILTER(Export[[DO or Franchise Name  ]],Export[offer]='Unique Offer Titles'!B53))))</f>
        <v/>
      </c>
      <c r="E53" t="str" cm="1">
        <f t="array" ref="E53">IF(B53="","",_xlfn.TEXTJOIN(", ",TRUE,_xlfn.UNIQUE(_xlfn._xlws.FILTER(Export[store],Export[offer]='Unique Offer Titles'!B53))))</f>
        <v/>
      </c>
    </row>
    <row r="54" spans="3:5" x14ac:dyDescent="0.25">
      <c r="C54" s="3" t="str" cm="1">
        <f t="array" ref="C54">IF(B54="","",COUNTA(_xlfn.UNIQUE(_xlfn._xlws.FILTER(Export[store],Export[offer]='Unique Offer Titles'!B54))))</f>
        <v/>
      </c>
      <c r="D54" t="str" cm="1">
        <f t="array" ref="D54">IF(B54="","",_xlfn.TEXTJOIN(", ",TRUE,_xlfn.UNIQUE(_xlfn._xlws.FILTER(Export[[DO or Franchise Name  ]],Export[offer]='Unique Offer Titles'!B54))))</f>
        <v/>
      </c>
      <c r="E54" t="str" cm="1">
        <f t="array" ref="E54">IF(B54="","",_xlfn.TEXTJOIN(", ",TRUE,_xlfn.UNIQUE(_xlfn._xlws.FILTER(Export[store],Export[offer]='Unique Offer Titles'!B54))))</f>
        <v/>
      </c>
    </row>
    <row r="55" spans="3:5" x14ac:dyDescent="0.25">
      <c r="C55" s="3" t="str" cm="1">
        <f t="array" ref="C55">IF(B55="","",COUNTA(_xlfn.UNIQUE(_xlfn._xlws.FILTER(Export[store],Export[offer]='Unique Offer Titles'!B55))))</f>
        <v/>
      </c>
      <c r="D55" t="str" cm="1">
        <f t="array" ref="D55">IF(B55="","",_xlfn.TEXTJOIN(", ",TRUE,_xlfn.UNIQUE(_xlfn._xlws.FILTER(Export[[DO or Franchise Name  ]],Export[offer]='Unique Offer Titles'!B55))))</f>
        <v/>
      </c>
      <c r="E55" t="str" cm="1">
        <f t="array" ref="E55">IF(B55="","",_xlfn.TEXTJOIN(", ",TRUE,_xlfn.UNIQUE(_xlfn._xlws.FILTER(Export[store],Export[offer]='Unique Offer Titles'!B55))))</f>
        <v/>
      </c>
    </row>
    <row r="56" spans="3:5" x14ac:dyDescent="0.25">
      <c r="C56" s="3" t="str" cm="1">
        <f t="array" ref="C56">IF(B56="","",COUNTA(_xlfn.UNIQUE(_xlfn._xlws.FILTER(Export[store],Export[offer]='Unique Offer Titles'!B56))))</f>
        <v/>
      </c>
      <c r="D56" t="str" cm="1">
        <f t="array" ref="D56">IF(B56="","",_xlfn.TEXTJOIN(", ",TRUE,_xlfn.UNIQUE(_xlfn._xlws.FILTER(Export[[DO or Franchise Name  ]],Export[offer]='Unique Offer Titles'!B56))))</f>
        <v/>
      </c>
      <c r="E56" t="str" cm="1">
        <f t="array" ref="E56">IF(B56="","",_xlfn.TEXTJOIN(", ",TRUE,_xlfn.UNIQUE(_xlfn._xlws.FILTER(Export[store],Export[offer]='Unique Offer Titles'!B56))))</f>
        <v/>
      </c>
    </row>
    <row r="57" spans="3:5" x14ac:dyDescent="0.25">
      <c r="C57" s="3" t="str" cm="1">
        <f t="array" ref="C57">IF(B57="","",COUNTA(_xlfn.UNIQUE(_xlfn._xlws.FILTER(Export[store],Export[offer]='Unique Offer Titles'!B57))))</f>
        <v/>
      </c>
      <c r="D57" t="str" cm="1">
        <f t="array" ref="D57">IF(B57="","",_xlfn.TEXTJOIN(", ",TRUE,_xlfn.UNIQUE(_xlfn._xlws.FILTER(Export[[DO or Franchise Name  ]],Export[offer]='Unique Offer Titles'!B57))))</f>
        <v/>
      </c>
      <c r="E57" t="str" cm="1">
        <f t="array" ref="E57">IF(B57="","",_xlfn.TEXTJOIN(", ",TRUE,_xlfn.UNIQUE(_xlfn._xlws.FILTER(Export[store],Export[offer]='Unique Offer Titles'!B57))))</f>
        <v/>
      </c>
    </row>
    <row r="58" spans="3:5" x14ac:dyDescent="0.25">
      <c r="C58" s="3" t="str" cm="1">
        <f t="array" ref="C58">IF(B58="","",COUNTA(_xlfn.UNIQUE(_xlfn._xlws.FILTER(Export[store],Export[offer]='Unique Offer Titles'!B58))))</f>
        <v/>
      </c>
      <c r="D58" t="str" cm="1">
        <f t="array" ref="D58">IF(B58="","",_xlfn.TEXTJOIN(", ",TRUE,_xlfn.UNIQUE(_xlfn._xlws.FILTER(Export[[DO or Franchise Name  ]],Export[offer]='Unique Offer Titles'!B58))))</f>
        <v/>
      </c>
      <c r="E58" t="str" cm="1">
        <f t="array" ref="E58">IF(B58="","",_xlfn.TEXTJOIN(", ",TRUE,_xlfn.UNIQUE(_xlfn._xlws.FILTER(Export[store],Export[offer]='Unique Offer Titles'!B58))))</f>
        <v/>
      </c>
    </row>
    <row r="59" spans="3:5" x14ac:dyDescent="0.25">
      <c r="C59" s="3" t="str" cm="1">
        <f t="array" ref="C59">IF(B59="","",COUNTA(_xlfn.UNIQUE(_xlfn._xlws.FILTER(Export[store],Export[offer]='Unique Offer Titles'!B59))))</f>
        <v/>
      </c>
      <c r="D59" t="str" cm="1">
        <f t="array" ref="D59">IF(B59="","",_xlfn.TEXTJOIN(", ",TRUE,_xlfn.UNIQUE(_xlfn._xlws.FILTER(Export[[DO or Franchise Name  ]],Export[offer]='Unique Offer Titles'!B59))))</f>
        <v/>
      </c>
      <c r="E59" t="str" cm="1">
        <f t="array" ref="E59">IF(B59="","",_xlfn.TEXTJOIN(", ",TRUE,_xlfn.UNIQUE(_xlfn._xlws.FILTER(Export[store],Export[offer]='Unique Offer Titles'!B59))))</f>
        <v/>
      </c>
    </row>
    <row r="60" spans="3:5" x14ac:dyDescent="0.25">
      <c r="C60" s="3" t="str" cm="1">
        <f t="array" ref="C60">IF(B60="","",COUNTA(_xlfn.UNIQUE(_xlfn._xlws.FILTER(Export[store],Export[offer]='Unique Offer Titles'!B60))))</f>
        <v/>
      </c>
      <c r="D60" t="str" cm="1">
        <f t="array" ref="D60">IF(B60="","",_xlfn.TEXTJOIN(", ",TRUE,_xlfn.UNIQUE(_xlfn._xlws.FILTER(Export[[DO or Franchise Name  ]],Export[offer]='Unique Offer Titles'!B60))))</f>
        <v/>
      </c>
      <c r="E60" t="str" cm="1">
        <f t="array" ref="E60">IF(B60="","",_xlfn.TEXTJOIN(", ",TRUE,_xlfn.UNIQUE(_xlfn._xlws.FILTER(Export[store],Export[offer]='Unique Offer Titles'!B60))))</f>
        <v/>
      </c>
    </row>
    <row r="61" spans="3:5" x14ac:dyDescent="0.25">
      <c r="C61" s="3" t="str" cm="1">
        <f t="array" ref="C61">IF(B61="","",COUNTA(_xlfn.UNIQUE(_xlfn._xlws.FILTER(Export[store],Export[offer]='Unique Offer Titles'!B61))))</f>
        <v/>
      </c>
      <c r="D61" t="str" cm="1">
        <f t="array" ref="D61">IF(B61="","",_xlfn.TEXTJOIN(", ",TRUE,_xlfn.UNIQUE(_xlfn._xlws.FILTER(Export[[DO or Franchise Name  ]],Export[offer]='Unique Offer Titles'!B61))))</f>
        <v/>
      </c>
      <c r="E61" t="str" cm="1">
        <f t="array" ref="E61">IF(B61="","",_xlfn.TEXTJOIN(", ",TRUE,_xlfn.UNIQUE(_xlfn._xlws.FILTER(Export[store],Export[offer]='Unique Offer Titles'!B61))))</f>
        <v/>
      </c>
    </row>
    <row r="62" spans="3:5" x14ac:dyDescent="0.25">
      <c r="C62" s="3" t="str" cm="1">
        <f t="array" ref="C62">IF(B62="","",COUNTA(_xlfn.UNIQUE(_xlfn._xlws.FILTER(Export[store],Export[offer]='Unique Offer Titles'!B62))))</f>
        <v/>
      </c>
      <c r="D62" t="str" cm="1">
        <f t="array" ref="D62">IF(B62="","",_xlfn.TEXTJOIN(", ",TRUE,_xlfn.UNIQUE(_xlfn._xlws.FILTER(Export[[DO or Franchise Name  ]],Export[offer]='Unique Offer Titles'!B62))))</f>
        <v/>
      </c>
      <c r="E62" t="str" cm="1">
        <f t="array" ref="E62">IF(B62="","",_xlfn.TEXTJOIN(", ",TRUE,_xlfn.UNIQUE(_xlfn._xlws.FILTER(Export[store],Export[offer]='Unique Offer Titles'!B62))))</f>
        <v/>
      </c>
    </row>
    <row r="63" spans="3:5" x14ac:dyDescent="0.25">
      <c r="C63" s="3" t="str" cm="1">
        <f t="array" ref="C63">IF(B63="","",COUNTA(_xlfn.UNIQUE(_xlfn._xlws.FILTER(Export[store],Export[offer]='Unique Offer Titles'!B63))))</f>
        <v/>
      </c>
      <c r="D63" t="str" cm="1">
        <f t="array" ref="D63">IF(B63="","",_xlfn.TEXTJOIN(", ",TRUE,_xlfn.UNIQUE(_xlfn._xlws.FILTER(Export[[DO or Franchise Name  ]],Export[offer]='Unique Offer Titles'!B63))))</f>
        <v/>
      </c>
      <c r="E63" t="str" cm="1">
        <f t="array" ref="E63">IF(B63="","",_xlfn.TEXTJOIN(", ",TRUE,_xlfn.UNIQUE(_xlfn._xlws.FILTER(Export[store],Export[offer]='Unique Offer Titles'!B63))))</f>
        <v/>
      </c>
    </row>
    <row r="64" spans="3:5" x14ac:dyDescent="0.25">
      <c r="C64" s="3" t="str" cm="1">
        <f t="array" ref="C64">IF(B64="","",COUNTA(_xlfn.UNIQUE(_xlfn._xlws.FILTER(Export[store],Export[offer]='Unique Offer Titles'!B64))))</f>
        <v/>
      </c>
      <c r="D64" t="str" cm="1">
        <f t="array" ref="D64">IF(B64="","",_xlfn.TEXTJOIN(", ",TRUE,_xlfn.UNIQUE(_xlfn._xlws.FILTER(Export[[DO or Franchise Name  ]],Export[offer]='Unique Offer Titles'!B64))))</f>
        <v/>
      </c>
      <c r="E64" t="str" cm="1">
        <f t="array" ref="E64">IF(B64="","",_xlfn.TEXTJOIN(", ",TRUE,_xlfn.UNIQUE(_xlfn._xlws.FILTER(Export[store],Export[offer]='Unique Offer Titles'!B64))))</f>
        <v/>
      </c>
    </row>
    <row r="65" spans="3:5" x14ac:dyDescent="0.25">
      <c r="C65" s="3" t="str" cm="1">
        <f t="array" ref="C65">IF(B65="","",COUNTA(_xlfn.UNIQUE(_xlfn._xlws.FILTER(Export[store],Export[offer]='Unique Offer Titles'!B65))))</f>
        <v/>
      </c>
      <c r="D65" t="str" cm="1">
        <f t="array" ref="D65">IF(B65="","",_xlfn.TEXTJOIN(", ",TRUE,_xlfn.UNIQUE(_xlfn._xlws.FILTER(Export[[DO or Franchise Name  ]],Export[offer]='Unique Offer Titles'!B65))))</f>
        <v/>
      </c>
      <c r="E65" t="str" cm="1">
        <f t="array" ref="E65">IF(B65="","",_xlfn.TEXTJOIN(", ",TRUE,_xlfn.UNIQUE(_xlfn._xlws.FILTER(Export[store],Export[offer]='Unique Offer Titles'!B65))))</f>
        <v/>
      </c>
    </row>
    <row r="66" spans="3:5" x14ac:dyDescent="0.25">
      <c r="C66" s="3" t="str" cm="1">
        <f t="array" ref="C66">IF(B66="","",COUNTA(_xlfn.UNIQUE(_xlfn._xlws.FILTER(Export[store],Export[offer]='Unique Offer Titles'!B66))))</f>
        <v/>
      </c>
      <c r="D66" t="str" cm="1">
        <f t="array" ref="D66">IF(B66="","",_xlfn.TEXTJOIN(", ",TRUE,_xlfn.UNIQUE(_xlfn._xlws.FILTER(Export[[DO or Franchise Name  ]],Export[offer]='Unique Offer Titles'!B66))))</f>
        <v/>
      </c>
      <c r="E66" t="str" cm="1">
        <f t="array" ref="E66">IF(B66="","",_xlfn.TEXTJOIN(", ",TRUE,_xlfn.UNIQUE(_xlfn._xlws.FILTER(Export[store],Export[offer]='Unique Offer Titles'!B66))))</f>
        <v/>
      </c>
    </row>
    <row r="67" spans="3:5" x14ac:dyDescent="0.25">
      <c r="C67" s="3" t="str" cm="1">
        <f t="array" ref="C67">IF(B67="","",COUNTA(_xlfn.UNIQUE(_xlfn._xlws.FILTER(Export[store],Export[offer]='Unique Offer Titles'!B67))))</f>
        <v/>
      </c>
      <c r="D67" t="str" cm="1">
        <f t="array" ref="D67">IF(B67="","",_xlfn.TEXTJOIN(", ",TRUE,_xlfn.UNIQUE(_xlfn._xlws.FILTER(Export[[DO or Franchise Name  ]],Export[offer]='Unique Offer Titles'!B67))))</f>
        <v/>
      </c>
      <c r="E67" t="str" cm="1">
        <f t="array" ref="E67">IF(B67="","",_xlfn.TEXTJOIN(", ",TRUE,_xlfn.UNIQUE(_xlfn._xlws.FILTER(Export[store],Export[offer]='Unique Offer Titles'!B67))))</f>
        <v/>
      </c>
    </row>
    <row r="68" spans="3:5" x14ac:dyDescent="0.25">
      <c r="C68" s="3" t="str" cm="1">
        <f t="array" ref="C68">IF(B68="","",COUNTA(_xlfn.UNIQUE(_xlfn._xlws.FILTER(Export[store],Export[offer]='Unique Offer Titles'!B68))))</f>
        <v/>
      </c>
      <c r="D68" t="str" cm="1">
        <f t="array" ref="D68">IF(B68="","",_xlfn.TEXTJOIN(", ",TRUE,_xlfn.UNIQUE(_xlfn._xlws.FILTER(Export[[DO or Franchise Name  ]],Export[offer]='Unique Offer Titles'!B68))))</f>
        <v/>
      </c>
      <c r="E68" t="str" cm="1">
        <f t="array" ref="E68">IF(B68="","",_xlfn.TEXTJOIN(", ",TRUE,_xlfn.UNIQUE(_xlfn._xlws.FILTER(Export[store],Export[offer]='Unique Offer Titles'!B68))))</f>
        <v/>
      </c>
    </row>
    <row r="69" spans="3:5" x14ac:dyDescent="0.25">
      <c r="C69" s="3" t="str" cm="1">
        <f t="array" ref="C69">IF(B69="","",COUNTA(_xlfn.UNIQUE(_xlfn._xlws.FILTER(Export[store],Export[offer]='Unique Offer Titles'!B69))))</f>
        <v/>
      </c>
      <c r="D69" t="str" cm="1">
        <f t="array" ref="D69">IF(B69="","",_xlfn.TEXTJOIN(", ",TRUE,_xlfn.UNIQUE(_xlfn._xlws.FILTER(Export[[DO or Franchise Name  ]],Export[offer]='Unique Offer Titles'!B69))))</f>
        <v/>
      </c>
      <c r="E69" t="str" cm="1">
        <f t="array" ref="E69">IF(B69="","",_xlfn.TEXTJOIN(", ",TRUE,_xlfn.UNIQUE(_xlfn._xlws.FILTER(Export[store],Export[offer]='Unique Offer Titles'!B69))))</f>
        <v/>
      </c>
    </row>
    <row r="70" spans="3:5" x14ac:dyDescent="0.25">
      <c r="C70" s="3" t="str" cm="1">
        <f t="array" ref="C70">IF(B70="","",COUNTA(_xlfn.UNIQUE(_xlfn._xlws.FILTER(Export[store],Export[offer]='Unique Offer Titles'!B70))))</f>
        <v/>
      </c>
      <c r="D70" t="str" cm="1">
        <f t="array" ref="D70">IF(B70="","",_xlfn.TEXTJOIN(", ",TRUE,_xlfn.UNIQUE(_xlfn._xlws.FILTER(Export[[DO or Franchise Name  ]],Export[offer]='Unique Offer Titles'!B70))))</f>
        <v/>
      </c>
      <c r="E70" t="str" cm="1">
        <f t="array" ref="E70">IF(B70="","",_xlfn.TEXTJOIN(", ",TRUE,_xlfn.UNIQUE(_xlfn._xlws.FILTER(Export[store],Export[offer]='Unique Offer Titles'!B70))))</f>
        <v/>
      </c>
    </row>
    <row r="71" spans="3:5" x14ac:dyDescent="0.25">
      <c r="C71" s="3" t="str" cm="1">
        <f t="array" ref="C71">IF(B71="","",COUNTA(_xlfn.UNIQUE(_xlfn._xlws.FILTER(Export[store],Export[offer]='Unique Offer Titles'!B71))))</f>
        <v/>
      </c>
      <c r="D71" t="str" cm="1">
        <f t="array" ref="D71">IF(B71="","",_xlfn.TEXTJOIN(", ",TRUE,_xlfn.UNIQUE(_xlfn._xlws.FILTER(Export[[DO or Franchise Name  ]],Export[offer]='Unique Offer Titles'!B71))))</f>
        <v/>
      </c>
      <c r="E71" t="str" cm="1">
        <f t="array" ref="E71">IF(B71="","",_xlfn.TEXTJOIN(", ",TRUE,_xlfn.UNIQUE(_xlfn._xlws.FILTER(Export[store],Export[offer]='Unique Offer Titles'!B71))))</f>
        <v/>
      </c>
    </row>
    <row r="72" spans="3:5" x14ac:dyDescent="0.25">
      <c r="C72" s="3" t="str" cm="1">
        <f t="array" ref="C72">IF(B72="","",COUNTA(_xlfn.UNIQUE(_xlfn._xlws.FILTER(Export[store],Export[offer]='Unique Offer Titles'!B72))))</f>
        <v/>
      </c>
      <c r="D72" t="str" cm="1">
        <f t="array" ref="D72">IF(B72="","",_xlfn.TEXTJOIN(", ",TRUE,_xlfn.UNIQUE(_xlfn._xlws.FILTER(Export[[DO or Franchise Name  ]],Export[offer]='Unique Offer Titles'!B72))))</f>
        <v/>
      </c>
      <c r="E72" t="str" cm="1">
        <f t="array" ref="E72">IF(B72="","",_xlfn.TEXTJOIN(", ",TRUE,_xlfn.UNIQUE(_xlfn._xlws.FILTER(Export[store],Export[offer]='Unique Offer Titles'!B72))))</f>
        <v/>
      </c>
    </row>
    <row r="73" spans="3:5" x14ac:dyDescent="0.25">
      <c r="C73" s="3" t="str" cm="1">
        <f t="array" ref="C73">IF(B73="","",COUNTA(_xlfn.UNIQUE(_xlfn._xlws.FILTER(Export[store],Export[offer]='Unique Offer Titles'!B73))))</f>
        <v/>
      </c>
      <c r="D73" t="str" cm="1">
        <f t="array" ref="D73">IF(B73="","",_xlfn.TEXTJOIN(", ",TRUE,_xlfn.UNIQUE(_xlfn._xlws.FILTER(Export[[DO or Franchise Name  ]],Export[offer]='Unique Offer Titles'!B73))))</f>
        <v/>
      </c>
      <c r="E73" t="str" cm="1">
        <f t="array" ref="E73">IF(B73="","",_xlfn.TEXTJOIN(", ",TRUE,_xlfn.UNIQUE(_xlfn._xlws.FILTER(Export[store],Export[offer]='Unique Offer Titles'!B73))))</f>
        <v/>
      </c>
    </row>
    <row r="74" spans="3:5" x14ac:dyDescent="0.25">
      <c r="C74" s="3" t="str" cm="1">
        <f t="array" ref="C74">IF(B74="","",COUNTA(_xlfn.UNIQUE(_xlfn._xlws.FILTER(Export[store],Export[offer]='Unique Offer Titles'!B74))))</f>
        <v/>
      </c>
      <c r="D74" t="str" cm="1">
        <f t="array" ref="D74">IF(B74="","",_xlfn.TEXTJOIN(", ",TRUE,_xlfn.UNIQUE(_xlfn._xlws.FILTER(Export[[DO or Franchise Name  ]],Export[offer]='Unique Offer Titles'!B74))))</f>
        <v/>
      </c>
      <c r="E74" t="str" cm="1">
        <f t="array" ref="E74">IF(B74="","",_xlfn.TEXTJOIN(", ",TRUE,_xlfn.UNIQUE(_xlfn._xlws.FILTER(Export[store],Export[offer]='Unique Offer Titles'!B74))))</f>
        <v/>
      </c>
    </row>
    <row r="75" spans="3:5" x14ac:dyDescent="0.25">
      <c r="C75" s="3" t="str" cm="1">
        <f t="array" ref="C75">IF(B75="","",COUNTA(_xlfn.UNIQUE(_xlfn._xlws.FILTER(Export[store],Export[offer]='Unique Offer Titles'!B75))))</f>
        <v/>
      </c>
      <c r="D75" t="str" cm="1">
        <f t="array" ref="D75">IF(B75="","",_xlfn.TEXTJOIN(", ",TRUE,_xlfn.UNIQUE(_xlfn._xlws.FILTER(Export[[DO or Franchise Name  ]],Export[offer]='Unique Offer Titles'!B75))))</f>
        <v/>
      </c>
      <c r="E75" t="str" cm="1">
        <f t="array" ref="E75">IF(B75="","",_xlfn.TEXTJOIN(", ",TRUE,_xlfn.UNIQUE(_xlfn._xlws.FILTER(Export[store],Export[offer]='Unique Offer Titles'!B75))))</f>
        <v/>
      </c>
    </row>
    <row r="76" spans="3:5" x14ac:dyDescent="0.25">
      <c r="C76" s="3" t="str" cm="1">
        <f t="array" ref="C76">IF(B76="","",COUNTA(_xlfn.UNIQUE(_xlfn._xlws.FILTER(Export[store],Export[offer]='Unique Offer Titles'!B76))))</f>
        <v/>
      </c>
      <c r="D76" t="str" cm="1">
        <f t="array" ref="D76">IF(B76="","",_xlfn.TEXTJOIN(", ",TRUE,_xlfn.UNIQUE(_xlfn._xlws.FILTER(Export[[DO or Franchise Name  ]],Export[offer]='Unique Offer Titles'!B76))))</f>
        <v/>
      </c>
      <c r="E76" t="str" cm="1">
        <f t="array" ref="E76">IF(B76="","",_xlfn.TEXTJOIN(", ",TRUE,_xlfn.UNIQUE(_xlfn._xlws.FILTER(Export[store],Export[offer]='Unique Offer Titles'!B76))))</f>
        <v/>
      </c>
    </row>
    <row r="77" spans="3:5" x14ac:dyDescent="0.25">
      <c r="C77" s="3" t="str" cm="1">
        <f t="array" ref="C77">IF(B77="","",COUNTA(_xlfn.UNIQUE(_xlfn._xlws.FILTER(Export[store],Export[offer]='Unique Offer Titles'!B77))))</f>
        <v/>
      </c>
      <c r="D77" t="str" cm="1">
        <f t="array" ref="D77">IF(B77="","",_xlfn.TEXTJOIN(", ",TRUE,_xlfn.UNIQUE(_xlfn._xlws.FILTER(Export[[DO or Franchise Name  ]],Export[offer]='Unique Offer Titles'!B77))))</f>
        <v/>
      </c>
      <c r="E77" t="str" cm="1">
        <f t="array" ref="E77">IF(B77="","",_xlfn.TEXTJOIN(", ",TRUE,_xlfn.UNIQUE(_xlfn._xlws.FILTER(Export[store],Export[offer]='Unique Offer Titles'!B77))))</f>
        <v/>
      </c>
    </row>
    <row r="78" spans="3:5" x14ac:dyDescent="0.25">
      <c r="C78" s="3" t="str" cm="1">
        <f t="array" ref="C78">IF(B78="","",COUNTA(_xlfn.UNIQUE(_xlfn._xlws.FILTER(Export[store],Export[offer]='Unique Offer Titles'!B78))))</f>
        <v/>
      </c>
      <c r="D78" t="str" cm="1">
        <f t="array" ref="D78">IF(B78="","",_xlfn.TEXTJOIN(", ",TRUE,_xlfn.UNIQUE(_xlfn._xlws.FILTER(Export[[DO or Franchise Name  ]],Export[offer]='Unique Offer Titles'!B78))))</f>
        <v/>
      </c>
      <c r="E78" t="str" cm="1">
        <f t="array" ref="E78">IF(B78="","",_xlfn.TEXTJOIN(", ",TRUE,_xlfn.UNIQUE(_xlfn._xlws.FILTER(Export[store],Export[offer]='Unique Offer Titles'!B78))))</f>
        <v/>
      </c>
    </row>
    <row r="79" spans="3:5" x14ac:dyDescent="0.25">
      <c r="C79" s="3" t="str" cm="1">
        <f t="array" ref="C79">IF(B79="","",COUNTA(_xlfn.UNIQUE(_xlfn._xlws.FILTER(Export[store],Export[offer]='Unique Offer Titles'!B79))))</f>
        <v/>
      </c>
      <c r="D79" t="str" cm="1">
        <f t="array" ref="D79">IF(B79="","",_xlfn.TEXTJOIN(", ",TRUE,_xlfn.UNIQUE(_xlfn._xlws.FILTER(Export[[DO or Franchise Name  ]],Export[offer]='Unique Offer Titles'!B79))))</f>
        <v/>
      </c>
      <c r="E79" t="str" cm="1">
        <f t="array" ref="E79">IF(B79="","",_xlfn.TEXTJOIN(", ",TRUE,_xlfn.UNIQUE(_xlfn._xlws.FILTER(Export[store],Export[offer]='Unique Offer Titles'!B79))))</f>
        <v/>
      </c>
    </row>
    <row r="80" spans="3:5" x14ac:dyDescent="0.25">
      <c r="C80" s="3" t="str" cm="1">
        <f t="array" ref="C80">IF(B80="","",COUNTA(_xlfn.UNIQUE(_xlfn._xlws.FILTER(Export[store],Export[offer]='Unique Offer Titles'!B80))))</f>
        <v/>
      </c>
      <c r="D80" t="str" cm="1">
        <f t="array" ref="D80">IF(B80="","",_xlfn.TEXTJOIN(", ",TRUE,_xlfn.UNIQUE(_xlfn._xlws.FILTER(Export[[DO or Franchise Name  ]],Export[offer]='Unique Offer Titles'!B80))))</f>
        <v/>
      </c>
      <c r="E80" t="str" cm="1">
        <f t="array" ref="E80">IF(B80="","",_xlfn.TEXTJOIN(", ",TRUE,_xlfn.UNIQUE(_xlfn._xlws.FILTER(Export[store],Export[offer]='Unique Offer Titles'!B80))))</f>
        <v/>
      </c>
    </row>
    <row r="81" spans="3:5" x14ac:dyDescent="0.25">
      <c r="C81" s="3" t="str" cm="1">
        <f t="array" ref="C81">IF(B81="","",COUNTA(_xlfn.UNIQUE(_xlfn._xlws.FILTER(Export[store],Export[offer]='Unique Offer Titles'!B81))))</f>
        <v/>
      </c>
      <c r="D81" t="str" cm="1">
        <f t="array" ref="D81">IF(B81="","",_xlfn.TEXTJOIN(", ",TRUE,_xlfn.UNIQUE(_xlfn._xlws.FILTER(Export[[DO or Franchise Name  ]],Export[offer]='Unique Offer Titles'!B81))))</f>
        <v/>
      </c>
      <c r="E81" t="str" cm="1">
        <f t="array" ref="E81">IF(B81="","",_xlfn.TEXTJOIN(", ",TRUE,_xlfn.UNIQUE(_xlfn._xlws.FILTER(Export[store],Export[offer]='Unique Offer Titles'!B81))))</f>
        <v/>
      </c>
    </row>
    <row r="82" spans="3:5" x14ac:dyDescent="0.25">
      <c r="C82" s="3" t="str" cm="1">
        <f t="array" ref="C82">IF(B82="","",COUNTA(_xlfn.UNIQUE(_xlfn._xlws.FILTER(Export[store],Export[offer]='Unique Offer Titles'!B82))))</f>
        <v/>
      </c>
      <c r="D82" t="str" cm="1">
        <f t="array" ref="D82">IF(B82="","",_xlfn.TEXTJOIN(", ",TRUE,_xlfn.UNIQUE(_xlfn._xlws.FILTER(Export[[DO or Franchise Name  ]],Export[offer]='Unique Offer Titles'!B82))))</f>
        <v/>
      </c>
      <c r="E82" t="str" cm="1">
        <f t="array" ref="E82">IF(B82="","",_xlfn.TEXTJOIN(", ",TRUE,_xlfn.UNIQUE(_xlfn._xlws.FILTER(Export[store],Export[offer]='Unique Offer Titles'!B82))))</f>
        <v/>
      </c>
    </row>
    <row r="83" spans="3:5" x14ac:dyDescent="0.25">
      <c r="C83" s="3" t="str" cm="1">
        <f t="array" ref="C83">IF(B83="","",COUNTA(_xlfn.UNIQUE(_xlfn._xlws.FILTER(Export[store],Export[offer]='Unique Offer Titles'!B83))))</f>
        <v/>
      </c>
      <c r="D83" t="str" cm="1">
        <f t="array" ref="D83">IF(B83="","",_xlfn.TEXTJOIN(", ",TRUE,_xlfn.UNIQUE(_xlfn._xlws.FILTER(Export[[DO or Franchise Name  ]],Export[offer]='Unique Offer Titles'!B83))))</f>
        <v/>
      </c>
      <c r="E83" t="str" cm="1">
        <f t="array" ref="E83">IF(B83="","",_xlfn.TEXTJOIN(", ",TRUE,_xlfn.UNIQUE(_xlfn._xlws.FILTER(Export[store],Export[offer]='Unique Offer Titles'!B83))))</f>
        <v/>
      </c>
    </row>
    <row r="84" spans="3:5" x14ac:dyDescent="0.25">
      <c r="C84" s="3" t="str" cm="1">
        <f t="array" ref="C84">IF(B84="","",COUNTA(_xlfn.UNIQUE(_xlfn._xlws.FILTER(Export[store],Export[offer]='Unique Offer Titles'!B84))))</f>
        <v/>
      </c>
      <c r="D84" t="str" cm="1">
        <f t="array" ref="D84">IF(B84="","",_xlfn.TEXTJOIN(", ",TRUE,_xlfn.UNIQUE(_xlfn._xlws.FILTER(Export[[DO or Franchise Name  ]],Export[offer]='Unique Offer Titles'!B84))))</f>
        <v/>
      </c>
      <c r="E84" t="str" cm="1">
        <f t="array" ref="E84">IF(B84="","",_xlfn.TEXTJOIN(", ",TRUE,_xlfn.UNIQUE(_xlfn._xlws.FILTER(Export[store],Export[offer]='Unique Offer Titles'!B84))))</f>
        <v/>
      </c>
    </row>
    <row r="85" spans="3:5" x14ac:dyDescent="0.25">
      <c r="C85" s="3" t="str" cm="1">
        <f t="array" ref="C85">IF(B85="","",COUNTA(_xlfn.UNIQUE(_xlfn._xlws.FILTER(Export[store],Export[offer]='Unique Offer Titles'!B85))))</f>
        <v/>
      </c>
      <c r="D85" t="str" cm="1">
        <f t="array" ref="D85">IF(B85="","",_xlfn.TEXTJOIN(", ",TRUE,_xlfn.UNIQUE(_xlfn._xlws.FILTER(Export[[DO or Franchise Name  ]],Export[offer]='Unique Offer Titles'!B85))))</f>
        <v/>
      </c>
      <c r="E85" t="str" cm="1">
        <f t="array" ref="E85">IF(B85="","",_xlfn.TEXTJOIN(", ",TRUE,_xlfn.UNIQUE(_xlfn._xlws.FILTER(Export[store],Export[offer]='Unique Offer Titles'!B85))))</f>
        <v/>
      </c>
    </row>
    <row r="86" spans="3:5" x14ac:dyDescent="0.25">
      <c r="C86" s="3" t="str" cm="1">
        <f t="array" ref="C86">IF(B86="","",COUNTA(_xlfn.UNIQUE(_xlfn._xlws.FILTER(Export[store],Export[offer]='Unique Offer Titles'!B86))))</f>
        <v/>
      </c>
      <c r="D86" t="str" cm="1">
        <f t="array" ref="D86">IF(B86="","",_xlfn.TEXTJOIN(", ",TRUE,_xlfn.UNIQUE(_xlfn._xlws.FILTER(Export[[DO or Franchise Name  ]],Export[offer]='Unique Offer Titles'!B86))))</f>
        <v/>
      </c>
      <c r="E86" t="str" cm="1">
        <f t="array" ref="E86">IF(B86="","",_xlfn.TEXTJOIN(", ",TRUE,_xlfn.UNIQUE(_xlfn._xlws.FILTER(Export[store],Export[offer]='Unique Offer Titles'!B86))))</f>
        <v/>
      </c>
    </row>
    <row r="87" spans="3:5" x14ac:dyDescent="0.25">
      <c r="C87" s="3" t="str" cm="1">
        <f t="array" ref="C87">IF(B87="","",COUNTA(_xlfn.UNIQUE(_xlfn._xlws.FILTER(Export[store],Export[offer]='Unique Offer Titles'!B87))))</f>
        <v/>
      </c>
      <c r="D87" t="str" cm="1">
        <f t="array" ref="D87">IF(B87="","",_xlfn.TEXTJOIN(", ",TRUE,_xlfn.UNIQUE(_xlfn._xlws.FILTER(Export[[DO or Franchise Name  ]],Export[offer]='Unique Offer Titles'!B87))))</f>
        <v/>
      </c>
      <c r="E87" t="str" cm="1">
        <f t="array" ref="E87">IF(B87="","",_xlfn.TEXTJOIN(", ",TRUE,_xlfn.UNIQUE(_xlfn._xlws.FILTER(Export[store],Export[offer]='Unique Offer Titles'!B87))))</f>
        <v/>
      </c>
    </row>
    <row r="88" spans="3:5" x14ac:dyDescent="0.25">
      <c r="C88" s="3" t="str" cm="1">
        <f t="array" ref="C88">IF(B88="","",COUNTA(_xlfn.UNIQUE(_xlfn._xlws.FILTER(Export[store],Export[offer]='Unique Offer Titles'!B88))))</f>
        <v/>
      </c>
      <c r="D88" t="str" cm="1">
        <f t="array" ref="D88">IF(B88="","",_xlfn.TEXTJOIN(", ",TRUE,_xlfn.UNIQUE(_xlfn._xlws.FILTER(Export[[DO or Franchise Name  ]],Export[offer]='Unique Offer Titles'!B88))))</f>
        <v/>
      </c>
      <c r="E88" t="str" cm="1">
        <f t="array" ref="E88">IF(B88="","",_xlfn.TEXTJOIN(", ",TRUE,_xlfn.UNIQUE(_xlfn._xlws.FILTER(Export[store],Export[offer]='Unique Offer Titles'!B88))))</f>
        <v/>
      </c>
    </row>
    <row r="89" spans="3:5" x14ac:dyDescent="0.25">
      <c r="C89" s="3" t="str" cm="1">
        <f t="array" ref="C89">IF(B89="","",COUNTA(_xlfn.UNIQUE(_xlfn._xlws.FILTER(Export[store],Export[offer]='Unique Offer Titles'!B89))))</f>
        <v/>
      </c>
      <c r="D89" t="str" cm="1">
        <f t="array" ref="D89">IF(B89="","",_xlfn.TEXTJOIN(", ",TRUE,_xlfn.UNIQUE(_xlfn._xlws.FILTER(Export[[DO or Franchise Name  ]],Export[offer]='Unique Offer Titles'!B89))))</f>
        <v/>
      </c>
      <c r="E89" t="str" cm="1">
        <f t="array" ref="E89">IF(B89="","",_xlfn.TEXTJOIN(", ",TRUE,_xlfn.UNIQUE(_xlfn._xlws.FILTER(Export[store],Export[offer]='Unique Offer Titles'!B89))))</f>
        <v/>
      </c>
    </row>
    <row r="90" spans="3:5" x14ac:dyDescent="0.25">
      <c r="C90" s="3" t="str" cm="1">
        <f t="array" ref="C90">IF(B90="","",COUNTA(_xlfn.UNIQUE(_xlfn._xlws.FILTER(Export[store],Export[offer]='Unique Offer Titles'!B90))))</f>
        <v/>
      </c>
      <c r="D90" t="str" cm="1">
        <f t="array" ref="D90">IF(B90="","",_xlfn.TEXTJOIN(", ",TRUE,_xlfn.UNIQUE(_xlfn._xlws.FILTER(Export[[DO or Franchise Name  ]],Export[offer]='Unique Offer Titles'!B90))))</f>
        <v/>
      </c>
      <c r="E90" t="str" cm="1">
        <f t="array" ref="E90">IF(B90="","",_xlfn.TEXTJOIN(", ",TRUE,_xlfn.UNIQUE(_xlfn._xlws.FILTER(Export[store],Export[offer]='Unique Offer Titles'!B90))))</f>
        <v/>
      </c>
    </row>
    <row r="91" spans="3:5" x14ac:dyDescent="0.25">
      <c r="C91" s="3" t="str" cm="1">
        <f t="array" ref="C91">IF(B91="","",COUNTA(_xlfn.UNIQUE(_xlfn._xlws.FILTER(Export[store],Export[offer]='Unique Offer Titles'!B91))))</f>
        <v/>
      </c>
      <c r="D91" t="str" cm="1">
        <f t="array" ref="D91">IF(B91="","",_xlfn.TEXTJOIN(", ",TRUE,_xlfn.UNIQUE(_xlfn._xlws.FILTER(Export[[DO or Franchise Name  ]],Export[offer]='Unique Offer Titles'!B91))))</f>
        <v/>
      </c>
      <c r="E91" t="str" cm="1">
        <f t="array" ref="E91">IF(B91="","",_xlfn.TEXTJOIN(", ",TRUE,_xlfn.UNIQUE(_xlfn._xlws.FILTER(Export[store],Export[offer]='Unique Offer Titles'!B91))))</f>
        <v/>
      </c>
    </row>
    <row r="92" spans="3:5" x14ac:dyDescent="0.25">
      <c r="C92" s="3" t="str" cm="1">
        <f t="array" ref="C92">IF(B92="","",COUNTA(_xlfn.UNIQUE(_xlfn._xlws.FILTER(Export[store],Export[offer]='Unique Offer Titles'!B92))))</f>
        <v/>
      </c>
      <c r="D92" t="str" cm="1">
        <f t="array" ref="D92">IF(B92="","",_xlfn.TEXTJOIN(", ",TRUE,_xlfn.UNIQUE(_xlfn._xlws.FILTER(Export[[DO or Franchise Name  ]],Export[offer]='Unique Offer Titles'!B92))))</f>
        <v/>
      </c>
      <c r="E92" t="str" cm="1">
        <f t="array" ref="E92">IF(B92="","",_xlfn.TEXTJOIN(", ",TRUE,_xlfn.UNIQUE(_xlfn._xlws.FILTER(Export[store],Export[offer]='Unique Offer Titles'!B92))))</f>
        <v/>
      </c>
    </row>
    <row r="93" spans="3:5" x14ac:dyDescent="0.25">
      <c r="C93" s="3" t="str" cm="1">
        <f t="array" ref="C93">IF(B93="","",COUNTA(_xlfn.UNIQUE(_xlfn._xlws.FILTER(Export[store],Export[offer]='Unique Offer Titles'!B93))))</f>
        <v/>
      </c>
      <c r="D93" t="str" cm="1">
        <f t="array" ref="D93">IF(B93="","",_xlfn.TEXTJOIN(", ",TRUE,_xlfn.UNIQUE(_xlfn._xlws.FILTER(Export[[DO or Franchise Name  ]],Export[offer]='Unique Offer Titles'!B93))))</f>
        <v/>
      </c>
      <c r="E93" t="str" cm="1">
        <f t="array" ref="E93">IF(B93="","",_xlfn.TEXTJOIN(", ",TRUE,_xlfn.UNIQUE(_xlfn._xlws.FILTER(Export[store],Export[offer]='Unique Offer Titles'!B93))))</f>
        <v/>
      </c>
    </row>
    <row r="94" spans="3:5" x14ac:dyDescent="0.25">
      <c r="C94" s="3" t="str" cm="1">
        <f t="array" ref="C94">IF(B94="","",COUNTA(_xlfn.UNIQUE(_xlfn._xlws.FILTER(Export[store],Export[offer]='Unique Offer Titles'!B94))))</f>
        <v/>
      </c>
      <c r="D94" t="str" cm="1">
        <f t="array" ref="D94">IF(B94="","",_xlfn.TEXTJOIN(", ",TRUE,_xlfn.UNIQUE(_xlfn._xlws.FILTER(Export[[DO or Franchise Name  ]],Export[offer]='Unique Offer Titles'!B94))))</f>
        <v/>
      </c>
      <c r="E94" t="str" cm="1">
        <f t="array" ref="E94">IF(B94="","",_xlfn.TEXTJOIN(", ",TRUE,_xlfn.UNIQUE(_xlfn._xlws.FILTER(Export[store],Export[offer]='Unique Offer Titles'!B94))))</f>
        <v/>
      </c>
    </row>
    <row r="95" spans="3:5" x14ac:dyDescent="0.25">
      <c r="C95" s="3" t="str" cm="1">
        <f t="array" ref="C95">IF(B95="","",COUNTA(_xlfn.UNIQUE(_xlfn._xlws.FILTER(Export[store],Export[offer]='Unique Offer Titles'!B95))))</f>
        <v/>
      </c>
      <c r="D95" t="str" cm="1">
        <f t="array" ref="D95">IF(B95="","",_xlfn.TEXTJOIN(", ",TRUE,_xlfn.UNIQUE(_xlfn._xlws.FILTER(Export[[DO or Franchise Name  ]],Export[offer]='Unique Offer Titles'!B95))))</f>
        <v/>
      </c>
      <c r="E95" t="str" cm="1">
        <f t="array" ref="E95">IF(B95="","",_xlfn.TEXTJOIN(", ",TRUE,_xlfn.UNIQUE(_xlfn._xlws.FILTER(Export[store],Export[offer]='Unique Offer Titles'!B95))))</f>
        <v/>
      </c>
    </row>
    <row r="96" spans="3:5" x14ac:dyDescent="0.25">
      <c r="C96" s="3" t="str" cm="1">
        <f t="array" ref="C96">IF(B96="","",COUNTA(_xlfn.UNIQUE(_xlfn._xlws.FILTER(Export[store],Export[offer]='Unique Offer Titles'!B96))))</f>
        <v/>
      </c>
      <c r="D96" t="str" cm="1">
        <f t="array" ref="D96">IF(B96="","",_xlfn.TEXTJOIN(", ",TRUE,_xlfn.UNIQUE(_xlfn._xlws.FILTER(Export[[DO or Franchise Name  ]],Export[offer]='Unique Offer Titles'!B96))))</f>
        <v/>
      </c>
      <c r="E96" t="str" cm="1">
        <f t="array" ref="E96">IF(B96="","",_xlfn.TEXTJOIN(", ",TRUE,_xlfn.UNIQUE(_xlfn._xlws.FILTER(Export[store],Export[offer]='Unique Offer Titles'!B96))))</f>
        <v/>
      </c>
    </row>
    <row r="97" spans="3:5" x14ac:dyDescent="0.25">
      <c r="C97" s="3" t="str" cm="1">
        <f t="array" ref="C97">IF(B97="","",COUNTA(_xlfn.UNIQUE(_xlfn._xlws.FILTER(Export[store],Export[offer]='Unique Offer Titles'!B97))))</f>
        <v/>
      </c>
      <c r="D97" t="str" cm="1">
        <f t="array" ref="D97">IF(B97="","",_xlfn.TEXTJOIN(", ",TRUE,_xlfn.UNIQUE(_xlfn._xlws.FILTER(Export[[DO or Franchise Name  ]],Export[offer]='Unique Offer Titles'!B97))))</f>
        <v/>
      </c>
      <c r="E97" t="str" cm="1">
        <f t="array" ref="E97">IF(B97="","",_xlfn.TEXTJOIN(", ",TRUE,_xlfn.UNIQUE(_xlfn._xlws.FILTER(Export[store],Export[offer]='Unique Offer Titles'!B97))))</f>
        <v/>
      </c>
    </row>
    <row r="98" spans="3:5" x14ac:dyDescent="0.25">
      <c r="C98" s="3" t="str" cm="1">
        <f t="array" ref="C98">IF(B98="","",COUNTA(_xlfn.UNIQUE(_xlfn._xlws.FILTER(Export[store],Export[offer]='Unique Offer Titles'!B98))))</f>
        <v/>
      </c>
      <c r="D98" t="str" cm="1">
        <f t="array" ref="D98">IF(B98="","",_xlfn.TEXTJOIN(", ",TRUE,_xlfn.UNIQUE(_xlfn._xlws.FILTER(Export[[DO or Franchise Name  ]],Export[offer]='Unique Offer Titles'!B98))))</f>
        <v/>
      </c>
      <c r="E98" t="str" cm="1">
        <f t="array" ref="E98">IF(B98="","",_xlfn.TEXTJOIN(", ",TRUE,_xlfn.UNIQUE(_xlfn._xlws.FILTER(Export[store],Export[offer]='Unique Offer Titles'!B98))))</f>
        <v/>
      </c>
    </row>
    <row r="99" spans="3:5" x14ac:dyDescent="0.25">
      <c r="C99" s="3" t="str" cm="1">
        <f t="array" ref="C99">IF(B99="","",COUNTA(_xlfn.UNIQUE(_xlfn._xlws.FILTER(Export[store],Export[offer]='Unique Offer Titles'!B99))))</f>
        <v/>
      </c>
      <c r="D99" t="str" cm="1">
        <f t="array" ref="D99">IF(B99="","",_xlfn.TEXTJOIN(", ",TRUE,_xlfn.UNIQUE(_xlfn._xlws.FILTER(Export[[DO or Franchise Name  ]],Export[offer]='Unique Offer Titles'!B99))))</f>
        <v/>
      </c>
      <c r="E99" t="str" cm="1">
        <f t="array" ref="E99">IF(B99="","",_xlfn.TEXTJOIN(", ",TRUE,_xlfn.UNIQUE(_xlfn._xlws.FILTER(Export[store],Export[offer]='Unique Offer Titles'!B99))))</f>
        <v/>
      </c>
    </row>
    <row r="100" spans="3:5" x14ac:dyDescent="0.25">
      <c r="C100" s="3" t="str" cm="1">
        <f t="array" ref="C100">IF(B100="","",COUNTA(_xlfn.UNIQUE(_xlfn._xlws.FILTER(Export[store],Export[offer]='Unique Offer Titles'!B100))))</f>
        <v/>
      </c>
      <c r="D100" t="str" cm="1">
        <f t="array" ref="D100">IF(B100="","",_xlfn.TEXTJOIN(", ",TRUE,_xlfn.UNIQUE(_xlfn._xlws.FILTER(Export[[DO or Franchise Name  ]],Export[offer]='Unique Offer Titles'!B100))))</f>
        <v/>
      </c>
      <c r="E100" t="str" cm="1">
        <f t="array" ref="E100">IF(B100="","",_xlfn.TEXTJOIN(", ",TRUE,_xlfn.UNIQUE(_xlfn._xlws.FILTER(Export[store],Export[offer]='Unique Offer Titles'!B100))))</f>
        <v/>
      </c>
    </row>
    <row r="101" spans="3:5" x14ac:dyDescent="0.25">
      <c r="C101" s="3" t="str" cm="1">
        <f t="array" ref="C101">IF(B101="","",COUNTA(_xlfn.UNIQUE(_xlfn._xlws.FILTER(Export[store],Export[offer]='Unique Offer Titles'!B101))))</f>
        <v/>
      </c>
      <c r="D101" t="str" cm="1">
        <f t="array" ref="D101">IF(B101="","",_xlfn.TEXTJOIN(", ",TRUE,_xlfn.UNIQUE(_xlfn._xlws.FILTER(Export[[DO or Franchise Name  ]],Export[offer]='Unique Offer Titles'!B101))))</f>
        <v/>
      </c>
      <c r="E101" t="str" cm="1">
        <f t="array" ref="E101">IF(B101="","",_xlfn.TEXTJOIN(", ",TRUE,_xlfn.UNIQUE(_xlfn._xlws.FILTER(Export[store],Export[offer]='Unique Offer Titles'!B101))))</f>
        <v/>
      </c>
    </row>
    <row r="102" spans="3:5" x14ac:dyDescent="0.25">
      <c r="C102" s="3" t="str" cm="1">
        <f t="array" ref="C102">IF(B102="","",COUNTA(_xlfn.UNIQUE(_xlfn._xlws.FILTER(Export[store],Export[offer]='Unique Offer Titles'!B102))))</f>
        <v/>
      </c>
      <c r="D102" t="str" cm="1">
        <f t="array" ref="D102">IF(B102="","",_xlfn.TEXTJOIN(", ",TRUE,_xlfn.UNIQUE(_xlfn._xlws.FILTER(Export[[DO or Franchise Name  ]],Export[offer]='Unique Offer Titles'!B102))))</f>
        <v/>
      </c>
      <c r="E102" t="str" cm="1">
        <f t="array" ref="E102">IF(B102="","",_xlfn.TEXTJOIN(", ",TRUE,_xlfn.UNIQUE(_xlfn._xlws.FILTER(Export[store],Export[offer]='Unique Offer Titles'!B102))))</f>
        <v/>
      </c>
    </row>
    <row r="103" spans="3:5" x14ac:dyDescent="0.25">
      <c r="C103" s="3" t="str" cm="1">
        <f t="array" ref="C103">IF(B103="","",COUNTA(_xlfn.UNIQUE(_xlfn._xlws.FILTER(Export[store],Export[offer]='Unique Offer Titles'!B103))))</f>
        <v/>
      </c>
      <c r="D103" t="str" cm="1">
        <f t="array" ref="D103">IF(B103="","",_xlfn.TEXTJOIN(", ",TRUE,_xlfn.UNIQUE(_xlfn._xlws.FILTER(Export[[DO or Franchise Name  ]],Export[offer]='Unique Offer Titles'!B103))))</f>
        <v/>
      </c>
      <c r="E103" t="str" cm="1">
        <f t="array" ref="E103">IF(B103="","",_xlfn.TEXTJOIN(", ",TRUE,_xlfn.UNIQUE(_xlfn._xlws.FILTER(Export[store],Export[offer]='Unique Offer Titles'!B103))))</f>
        <v/>
      </c>
    </row>
    <row r="104" spans="3:5" x14ac:dyDescent="0.25">
      <c r="C104" s="3" t="str" cm="1">
        <f t="array" ref="C104">IF(B104="","",COUNTA(_xlfn.UNIQUE(_xlfn._xlws.FILTER(Export[store],Export[offer]='Unique Offer Titles'!B104))))</f>
        <v/>
      </c>
      <c r="D104" t="str" cm="1">
        <f t="array" ref="D104">IF(B104="","",_xlfn.TEXTJOIN(", ",TRUE,_xlfn.UNIQUE(_xlfn._xlws.FILTER(Export[[DO or Franchise Name  ]],Export[offer]='Unique Offer Titles'!B104))))</f>
        <v/>
      </c>
      <c r="E104" t="str" cm="1">
        <f t="array" ref="E104">IF(B104="","",_xlfn.TEXTJOIN(", ",TRUE,_xlfn.UNIQUE(_xlfn._xlws.FILTER(Export[store],Export[offer]='Unique Offer Titles'!B104))))</f>
        <v/>
      </c>
    </row>
    <row r="105" spans="3:5" x14ac:dyDescent="0.25">
      <c r="C105" s="3" t="str" cm="1">
        <f t="array" ref="C105">IF(B105="","",COUNTA(_xlfn.UNIQUE(_xlfn._xlws.FILTER(Export[store],Export[offer]='Unique Offer Titles'!B105))))</f>
        <v/>
      </c>
      <c r="D105" t="str" cm="1">
        <f t="array" ref="D105">IF(B105="","",_xlfn.TEXTJOIN(", ",TRUE,_xlfn.UNIQUE(_xlfn._xlws.FILTER(Export[[DO or Franchise Name  ]],Export[offer]='Unique Offer Titles'!B105))))</f>
        <v/>
      </c>
      <c r="E105" t="str" cm="1">
        <f t="array" ref="E105">IF(B105="","",_xlfn.TEXTJOIN(", ",TRUE,_xlfn.UNIQUE(_xlfn._xlws.FILTER(Export[store],Export[offer]='Unique Offer Titles'!B105))))</f>
        <v/>
      </c>
    </row>
    <row r="106" spans="3:5" x14ac:dyDescent="0.25">
      <c r="C106" s="3" t="str" cm="1">
        <f t="array" ref="C106">IF(B106="","",COUNTA(_xlfn.UNIQUE(_xlfn._xlws.FILTER(Export[store],Export[offer]='Unique Offer Titles'!B106))))</f>
        <v/>
      </c>
      <c r="D106" t="str" cm="1">
        <f t="array" ref="D106">IF(B106="","",_xlfn.TEXTJOIN(", ",TRUE,_xlfn.UNIQUE(_xlfn._xlws.FILTER(Export[[DO or Franchise Name  ]],Export[offer]='Unique Offer Titles'!B106))))</f>
        <v/>
      </c>
      <c r="E106" t="str" cm="1">
        <f t="array" ref="E106">IF(B106="","",_xlfn.TEXTJOIN(", ",TRUE,_xlfn.UNIQUE(_xlfn._xlws.FILTER(Export[store],Export[offer]='Unique Offer Titles'!B106))))</f>
        <v/>
      </c>
    </row>
    <row r="107" spans="3:5" x14ac:dyDescent="0.25">
      <c r="C107" s="3" t="str" cm="1">
        <f t="array" ref="C107">IF(B107="","",COUNTA(_xlfn.UNIQUE(_xlfn._xlws.FILTER(Export[store],Export[offer]='Unique Offer Titles'!B107))))</f>
        <v/>
      </c>
      <c r="D107" t="str" cm="1">
        <f t="array" ref="D107">IF(B107="","",_xlfn.TEXTJOIN(", ",TRUE,_xlfn.UNIQUE(_xlfn._xlws.FILTER(Export[[DO or Franchise Name  ]],Export[offer]='Unique Offer Titles'!B107))))</f>
        <v/>
      </c>
      <c r="E107" t="str" cm="1">
        <f t="array" ref="E107">IF(B107="","",_xlfn.TEXTJOIN(", ",TRUE,_xlfn.UNIQUE(_xlfn._xlws.FILTER(Export[store],Export[offer]='Unique Offer Titles'!B107))))</f>
        <v/>
      </c>
    </row>
    <row r="108" spans="3:5" x14ac:dyDescent="0.25">
      <c r="C108" s="3" t="str" cm="1">
        <f t="array" ref="C108">IF(B108="","",COUNTA(_xlfn.UNIQUE(_xlfn._xlws.FILTER(Export[store],Export[offer]='Unique Offer Titles'!B108))))</f>
        <v/>
      </c>
      <c r="D108" t="str" cm="1">
        <f t="array" ref="D108">IF(B108="","",_xlfn.TEXTJOIN(", ",TRUE,_xlfn.UNIQUE(_xlfn._xlws.FILTER(Export[[DO or Franchise Name  ]],Export[offer]='Unique Offer Titles'!B108))))</f>
        <v/>
      </c>
      <c r="E108" t="str" cm="1">
        <f t="array" ref="E108">IF(B108="","",_xlfn.TEXTJOIN(", ",TRUE,_xlfn.UNIQUE(_xlfn._xlws.FILTER(Export[store],Export[offer]='Unique Offer Titles'!B108))))</f>
        <v/>
      </c>
    </row>
    <row r="109" spans="3:5" x14ac:dyDescent="0.25">
      <c r="C109" s="3" t="str" cm="1">
        <f t="array" ref="C109">IF(B109="","",COUNTA(_xlfn.UNIQUE(_xlfn._xlws.FILTER(Export[store],Export[offer]='Unique Offer Titles'!B109))))</f>
        <v/>
      </c>
      <c r="D109" t="str" cm="1">
        <f t="array" ref="D109">IF(B109="","",_xlfn.TEXTJOIN(", ",TRUE,_xlfn.UNIQUE(_xlfn._xlws.FILTER(Export[[DO or Franchise Name  ]],Export[offer]='Unique Offer Titles'!B109))))</f>
        <v/>
      </c>
      <c r="E109" t="str" cm="1">
        <f t="array" ref="E109">IF(B109="","",_xlfn.TEXTJOIN(", ",TRUE,_xlfn.UNIQUE(_xlfn._xlws.FILTER(Export[store],Export[offer]='Unique Offer Titles'!B109))))</f>
        <v/>
      </c>
    </row>
    <row r="110" spans="3:5" x14ac:dyDescent="0.25">
      <c r="C110" s="3" t="str" cm="1">
        <f t="array" ref="C110">IF(B110="","",COUNTA(_xlfn.UNIQUE(_xlfn._xlws.FILTER(Export[store],Export[offer]='Unique Offer Titles'!B110))))</f>
        <v/>
      </c>
      <c r="D110" t="str" cm="1">
        <f t="array" ref="D110">IF(B110="","",_xlfn.TEXTJOIN(", ",TRUE,_xlfn.UNIQUE(_xlfn._xlws.FILTER(Export[[DO or Franchise Name  ]],Export[offer]='Unique Offer Titles'!B110))))</f>
        <v/>
      </c>
      <c r="E110" t="str" cm="1">
        <f t="array" ref="E110">IF(B110="","",_xlfn.TEXTJOIN(", ",TRUE,_xlfn.UNIQUE(_xlfn._xlws.FILTER(Export[store],Export[offer]='Unique Offer Titles'!B110))))</f>
        <v/>
      </c>
    </row>
    <row r="111" spans="3:5" x14ac:dyDescent="0.25">
      <c r="C111" s="3" t="str" cm="1">
        <f t="array" ref="C111">IF(B111="","",COUNTA(_xlfn.UNIQUE(_xlfn._xlws.FILTER(Export[store],Export[offer]='Unique Offer Titles'!B111))))</f>
        <v/>
      </c>
      <c r="D111" t="str" cm="1">
        <f t="array" ref="D111">IF(B111="","",_xlfn.TEXTJOIN(", ",TRUE,_xlfn.UNIQUE(_xlfn._xlws.FILTER(Export[[DO or Franchise Name  ]],Export[offer]='Unique Offer Titles'!B111))))</f>
        <v/>
      </c>
      <c r="E111" t="str" cm="1">
        <f t="array" ref="E111">IF(B111="","",_xlfn.TEXTJOIN(", ",TRUE,_xlfn.UNIQUE(_xlfn._xlws.FILTER(Export[store],Export[offer]='Unique Offer Titles'!B111))))</f>
        <v/>
      </c>
    </row>
    <row r="112" spans="3:5" x14ac:dyDescent="0.25">
      <c r="C112" s="3" t="str" cm="1">
        <f t="array" ref="C112">IF(B112="","",COUNTA(_xlfn.UNIQUE(_xlfn._xlws.FILTER(Export[store],Export[offer]='Unique Offer Titles'!B112))))</f>
        <v/>
      </c>
      <c r="D112" t="str" cm="1">
        <f t="array" ref="D112">IF(B112="","",_xlfn.TEXTJOIN(", ",TRUE,_xlfn.UNIQUE(_xlfn._xlws.FILTER(Export[[DO or Franchise Name  ]],Export[offer]='Unique Offer Titles'!B112))))</f>
        <v/>
      </c>
      <c r="E112" t="str" cm="1">
        <f t="array" ref="E112">IF(B112="","",_xlfn.TEXTJOIN(", ",TRUE,_xlfn.UNIQUE(_xlfn._xlws.FILTER(Export[store],Export[offer]='Unique Offer Titles'!B112))))</f>
        <v/>
      </c>
    </row>
    <row r="113" spans="3:5" x14ac:dyDescent="0.25">
      <c r="C113" s="3" t="str" cm="1">
        <f t="array" ref="C113">IF(B113="","",COUNTA(_xlfn.UNIQUE(_xlfn._xlws.FILTER(Export[store],Export[offer]='Unique Offer Titles'!B113))))</f>
        <v/>
      </c>
      <c r="D113" t="str" cm="1">
        <f t="array" ref="D113">IF(B113="","",_xlfn.TEXTJOIN(", ",TRUE,_xlfn.UNIQUE(_xlfn._xlws.FILTER(Export[[DO or Franchise Name  ]],Export[offer]='Unique Offer Titles'!B113))))</f>
        <v/>
      </c>
      <c r="E113" t="str" cm="1">
        <f t="array" ref="E113">IF(B113="","",_xlfn.TEXTJOIN(", ",TRUE,_xlfn.UNIQUE(_xlfn._xlws.FILTER(Export[store],Export[offer]='Unique Offer Titles'!B113))))</f>
        <v/>
      </c>
    </row>
    <row r="114" spans="3:5" x14ac:dyDescent="0.25">
      <c r="C114" s="3" t="str" cm="1">
        <f t="array" ref="C114">IF(B114="","",COUNTA(_xlfn.UNIQUE(_xlfn._xlws.FILTER(Export[store],Export[offer]='Unique Offer Titles'!B114))))</f>
        <v/>
      </c>
      <c r="D114" t="str" cm="1">
        <f t="array" ref="D114">IF(B114="","",_xlfn.TEXTJOIN(", ",TRUE,_xlfn.UNIQUE(_xlfn._xlws.FILTER(Export[[DO or Franchise Name  ]],Export[offer]='Unique Offer Titles'!B114))))</f>
        <v/>
      </c>
      <c r="E114" t="str" cm="1">
        <f t="array" ref="E114">IF(B114="","",_xlfn.TEXTJOIN(", ",TRUE,_xlfn.UNIQUE(_xlfn._xlws.FILTER(Export[store],Export[offer]='Unique Offer Titles'!B114))))</f>
        <v/>
      </c>
    </row>
    <row r="115" spans="3:5" x14ac:dyDescent="0.25">
      <c r="C115" s="3" t="str" cm="1">
        <f t="array" ref="C115">IF(B115="","",COUNTA(_xlfn.UNIQUE(_xlfn._xlws.FILTER(Export[store],Export[offer]='Unique Offer Titles'!B115))))</f>
        <v/>
      </c>
      <c r="D115" t="str" cm="1">
        <f t="array" ref="D115">IF(B115="","",_xlfn.TEXTJOIN(", ",TRUE,_xlfn.UNIQUE(_xlfn._xlws.FILTER(Export[[DO or Franchise Name  ]],Export[offer]='Unique Offer Titles'!B115))))</f>
        <v/>
      </c>
      <c r="E115" t="str" cm="1">
        <f t="array" ref="E115">IF(B115="","",_xlfn.TEXTJOIN(", ",TRUE,_xlfn.UNIQUE(_xlfn._xlws.FILTER(Export[store],Export[offer]='Unique Offer Titles'!B115))))</f>
        <v/>
      </c>
    </row>
    <row r="116" spans="3:5" x14ac:dyDescent="0.25">
      <c r="C116" s="3" t="str" cm="1">
        <f t="array" ref="C116">IF(B116="","",COUNTA(_xlfn.UNIQUE(_xlfn._xlws.FILTER(Export[store],Export[offer]='Unique Offer Titles'!B116))))</f>
        <v/>
      </c>
      <c r="D116" t="str" cm="1">
        <f t="array" ref="D116">IF(B116="","",_xlfn.TEXTJOIN(", ",TRUE,_xlfn.UNIQUE(_xlfn._xlws.FILTER(Export[[DO or Franchise Name  ]],Export[offer]='Unique Offer Titles'!B116))))</f>
        <v/>
      </c>
      <c r="E116" t="str" cm="1">
        <f t="array" ref="E116">IF(B116="","",_xlfn.TEXTJOIN(", ",TRUE,_xlfn.UNIQUE(_xlfn._xlws.FILTER(Export[store],Export[offer]='Unique Offer Titles'!B116))))</f>
        <v/>
      </c>
    </row>
    <row r="117" spans="3:5" x14ac:dyDescent="0.25">
      <c r="C117" s="3" t="str" cm="1">
        <f t="array" ref="C117">IF(B117="","",COUNTA(_xlfn.UNIQUE(_xlfn._xlws.FILTER(Export[store],Export[offer]='Unique Offer Titles'!B117))))</f>
        <v/>
      </c>
      <c r="D117" t="str" cm="1">
        <f t="array" ref="D117">IF(B117="","",_xlfn.TEXTJOIN(", ",TRUE,_xlfn.UNIQUE(_xlfn._xlws.FILTER(Export[[DO or Franchise Name  ]],Export[offer]='Unique Offer Titles'!B117))))</f>
        <v/>
      </c>
      <c r="E117" t="str" cm="1">
        <f t="array" ref="E117">IF(B117="","",_xlfn.TEXTJOIN(", ",TRUE,_xlfn.UNIQUE(_xlfn._xlws.FILTER(Export[store],Export[offer]='Unique Offer Titles'!B117))))</f>
        <v/>
      </c>
    </row>
    <row r="118" spans="3:5" x14ac:dyDescent="0.25">
      <c r="C118" s="3" t="str" cm="1">
        <f t="array" ref="C118">IF(B118="","",COUNTA(_xlfn.UNIQUE(_xlfn._xlws.FILTER(Export[store],Export[offer]='Unique Offer Titles'!B118))))</f>
        <v/>
      </c>
      <c r="D118" t="str" cm="1">
        <f t="array" ref="D118">IF(B118="","",_xlfn.TEXTJOIN(", ",TRUE,_xlfn.UNIQUE(_xlfn._xlws.FILTER(Export[[DO or Franchise Name  ]],Export[offer]='Unique Offer Titles'!B118))))</f>
        <v/>
      </c>
      <c r="E118" t="str" cm="1">
        <f t="array" ref="E118">IF(B118="","",_xlfn.TEXTJOIN(", ",TRUE,_xlfn.UNIQUE(_xlfn._xlws.FILTER(Export[store],Export[offer]='Unique Offer Titles'!B118))))</f>
        <v/>
      </c>
    </row>
    <row r="119" spans="3:5" x14ac:dyDescent="0.25">
      <c r="C119" s="3" t="str" cm="1">
        <f t="array" ref="C119">IF(B119="","",COUNTA(_xlfn.UNIQUE(_xlfn._xlws.FILTER(Export[store],Export[offer]='Unique Offer Titles'!B119))))</f>
        <v/>
      </c>
      <c r="D119" t="str" cm="1">
        <f t="array" ref="D119">IF(B119="","",_xlfn.TEXTJOIN(", ",TRUE,_xlfn.UNIQUE(_xlfn._xlws.FILTER(Export[[DO or Franchise Name  ]],Export[offer]='Unique Offer Titles'!B119))))</f>
        <v/>
      </c>
      <c r="E119" t="str" cm="1">
        <f t="array" ref="E119">IF(B119="","",_xlfn.TEXTJOIN(", ",TRUE,_xlfn.UNIQUE(_xlfn._xlws.FILTER(Export[store],Export[offer]='Unique Offer Titles'!B119))))</f>
        <v/>
      </c>
    </row>
    <row r="120" spans="3:5" x14ac:dyDescent="0.25">
      <c r="C120" s="3" t="str" cm="1">
        <f t="array" ref="C120">IF(B120="","",COUNTA(_xlfn.UNIQUE(_xlfn._xlws.FILTER(Export[store],Export[offer]='Unique Offer Titles'!B120))))</f>
        <v/>
      </c>
      <c r="D120" t="str" cm="1">
        <f t="array" ref="D120">IF(B120="","",_xlfn.TEXTJOIN(", ",TRUE,_xlfn.UNIQUE(_xlfn._xlws.FILTER(Export[[DO or Franchise Name  ]],Export[offer]='Unique Offer Titles'!B120))))</f>
        <v/>
      </c>
      <c r="E120" t="str" cm="1">
        <f t="array" ref="E120">IF(B120="","",_xlfn.TEXTJOIN(", ",TRUE,_xlfn.UNIQUE(_xlfn._xlws.FILTER(Export[store],Export[offer]='Unique Offer Titles'!B120))))</f>
        <v/>
      </c>
    </row>
    <row r="121" spans="3:5" x14ac:dyDescent="0.25">
      <c r="C121" s="3" t="str" cm="1">
        <f t="array" ref="C121">IF(B121="","",COUNTA(_xlfn.UNIQUE(_xlfn._xlws.FILTER(Export[store],Export[offer]='Unique Offer Titles'!B121))))</f>
        <v/>
      </c>
      <c r="D121" t="str" cm="1">
        <f t="array" ref="D121">IF(B121="","",_xlfn.TEXTJOIN(", ",TRUE,_xlfn.UNIQUE(_xlfn._xlws.FILTER(Export[[DO or Franchise Name  ]],Export[offer]='Unique Offer Titles'!B121))))</f>
        <v/>
      </c>
      <c r="E121" t="str" cm="1">
        <f t="array" ref="E121">IF(B121="","",_xlfn.TEXTJOIN(", ",TRUE,_xlfn.UNIQUE(_xlfn._xlws.FILTER(Export[store],Export[offer]='Unique Offer Titles'!B121))))</f>
        <v/>
      </c>
    </row>
    <row r="122" spans="3:5" x14ac:dyDescent="0.25">
      <c r="C122" s="3" t="str" cm="1">
        <f t="array" ref="C122">IF(B122="","",COUNTA(_xlfn.UNIQUE(_xlfn._xlws.FILTER(Export[store],Export[offer]='Unique Offer Titles'!B122))))</f>
        <v/>
      </c>
      <c r="D122" t="str" cm="1">
        <f t="array" ref="D122">IF(B122="","",_xlfn.TEXTJOIN(", ",TRUE,_xlfn.UNIQUE(_xlfn._xlws.FILTER(Export[[DO or Franchise Name  ]],Export[offer]='Unique Offer Titles'!B122))))</f>
        <v/>
      </c>
      <c r="E122" t="str" cm="1">
        <f t="array" ref="E122">IF(B122="","",_xlfn.TEXTJOIN(", ",TRUE,_xlfn.UNIQUE(_xlfn._xlws.FILTER(Export[store],Export[offer]='Unique Offer Titles'!B122))))</f>
        <v/>
      </c>
    </row>
    <row r="123" spans="3:5" x14ac:dyDescent="0.25">
      <c r="C123" s="3" t="str" cm="1">
        <f t="array" ref="C123">IF(B123="","",COUNTA(_xlfn.UNIQUE(_xlfn._xlws.FILTER(Export[store],Export[offer]='Unique Offer Titles'!B123))))</f>
        <v/>
      </c>
      <c r="D123" t="str" cm="1">
        <f t="array" ref="D123">IF(B123="","",_xlfn.TEXTJOIN(", ",TRUE,_xlfn.UNIQUE(_xlfn._xlws.FILTER(Export[[DO or Franchise Name  ]],Export[offer]='Unique Offer Titles'!B123))))</f>
        <v/>
      </c>
      <c r="E123" t="str" cm="1">
        <f t="array" ref="E123">IF(B123="","",_xlfn.TEXTJOIN(", ",TRUE,_xlfn.UNIQUE(_xlfn._xlws.FILTER(Export[store],Export[offer]='Unique Offer Titles'!B123))))</f>
        <v/>
      </c>
    </row>
    <row r="124" spans="3:5" x14ac:dyDescent="0.25">
      <c r="C124" s="3" t="str" cm="1">
        <f t="array" ref="C124">IF(B124="","",COUNTA(_xlfn.UNIQUE(_xlfn._xlws.FILTER(Export[store],Export[offer]='Unique Offer Titles'!B124))))</f>
        <v/>
      </c>
      <c r="D124" t="str" cm="1">
        <f t="array" ref="D124">IF(B124="","",_xlfn.TEXTJOIN(", ",TRUE,_xlfn.UNIQUE(_xlfn._xlws.FILTER(Export[[DO or Franchise Name  ]],Export[offer]='Unique Offer Titles'!B124))))</f>
        <v/>
      </c>
      <c r="E124" t="str" cm="1">
        <f t="array" ref="E124">IF(B124="","",_xlfn.TEXTJOIN(", ",TRUE,_xlfn.UNIQUE(_xlfn._xlws.FILTER(Export[store],Export[offer]='Unique Offer Titles'!B124))))</f>
        <v/>
      </c>
    </row>
    <row r="125" spans="3:5" x14ac:dyDescent="0.25">
      <c r="C125" s="3" t="str" cm="1">
        <f t="array" ref="C125">IF(B125="","",COUNTA(_xlfn.UNIQUE(_xlfn._xlws.FILTER(Export[store],Export[offer]='Unique Offer Titles'!B125))))</f>
        <v/>
      </c>
      <c r="D125" t="str" cm="1">
        <f t="array" ref="D125">IF(B125="","",_xlfn.TEXTJOIN(", ",TRUE,_xlfn.UNIQUE(_xlfn._xlws.FILTER(Export[[DO or Franchise Name  ]],Export[offer]='Unique Offer Titles'!B125))))</f>
        <v/>
      </c>
      <c r="E125" t="str" cm="1">
        <f t="array" ref="E125">IF(B125="","",_xlfn.TEXTJOIN(", ",TRUE,_xlfn.UNIQUE(_xlfn._xlws.FILTER(Export[store],Export[offer]='Unique Offer Titles'!B125))))</f>
        <v/>
      </c>
    </row>
    <row r="126" spans="3:5" x14ac:dyDescent="0.25">
      <c r="C126" s="3" t="str" cm="1">
        <f t="array" ref="C126">IF(B126="","",COUNTA(_xlfn.UNIQUE(_xlfn._xlws.FILTER(Export[store],Export[offer]='Unique Offer Titles'!B126))))</f>
        <v/>
      </c>
      <c r="D126" t="str" cm="1">
        <f t="array" ref="D126">IF(B126="","",_xlfn.TEXTJOIN(", ",TRUE,_xlfn.UNIQUE(_xlfn._xlws.FILTER(Export[[DO or Franchise Name  ]],Export[offer]='Unique Offer Titles'!B126))))</f>
        <v/>
      </c>
      <c r="E126" t="str" cm="1">
        <f t="array" ref="E126">IF(B126="","",_xlfn.TEXTJOIN(", ",TRUE,_xlfn.UNIQUE(_xlfn._xlws.FILTER(Export[store],Export[offer]='Unique Offer Titles'!B126))))</f>
        <v/>
      </c>
    </row>
    <row r="127" spans="3:5" x14ac:dyDescent="0.25">
      <c r="C127" s="3" t="str" cm="1">
        <f t="array" ref="C127">IF(B127="","",COUNTA(_xlfn.UNIQUE(_xlfn._xlws.FILTER(Export[store],Export[offer]='Unique Offer Titles'!B127))))</f>
        <v/>
      </c>
      <c r="D127" t="str" cm="1">
        <f t="array" ref="D127">IF(B127="","",_xlfn.TEXTJOIN(", ",TRUE,_xlfn.UNIQUE(_xlfn._xlws.FILTER(Export[[DO or Franchise Name  ]],Export[offer]='Unique Offer Titles'!B127))))</f>
        <v/>
      </c>
      <c r="E127" t="str" cm="1">
        <f t="array" ref="E127">IF(B127="","",_xlfn.TEXTJOIN(", ",TRUE,_xlfn.UNIQUE(_xlfn._xlws.FILTER(Export[store],Export[offer]='Unique Offer Titles'!B127))))</f>
        <v/>
      </c>
    </row>
    <row r="128" spans="3:5" x14ac:dyDescent="0.25">
      <c r="C128" s="3" t="str" cm="1">
        <f t="array" ref="C128">IF(B128="","",COUNTA(_xlfn.UNIQUE(_xlfn._xlws.FILTER(Export[store],Export[offer]='Unique Offer Titles'!B128))))</f>
        <v/>
      </c>
      <c r="D128" t="str" cm="1">
        <f t="array" ref="D128">IF(B128="","",_xlfn.TEXTJOIN(", ",TRUE,_xlfn.UNIQUE(_xlfn._xlws.FILTER(Export[[DO or Franchise Name  ]],Export[offer]='Unique Offer Titles'!B128))))</f>
        <v/>
      </c>
      <c r="E128" t="str" cm="1">
        <f t="array" ref="E128">IF(B128="","",_xlfn.TEXTJOIN(", ",TRUE,_xlfn.UNIQUE(_xlfn._xlws.FILTER(Export[store],Export[offer]='Unique Offer Titles'!B128))))</f>
        <v/>
      </c>
    </row>
    <row r="129" spans="3:5" x14ac:dyDescent="0.25">
      <c r="C129" s="3" t="str" cm="1">
        <f t="array" ref="C129">IF(B129="","",COUNTA(_xlfn.UNIQUE(_xlfn._xlws.FILTER(Export[store],Export[offer]='Unique Offer Titles'!B129))))</f>
        <v/>
      </c>
      <c r="D129" t="str" cm="1">
        <f t="array" ref="D129">IF(B129="","",_xlfn.TEXTJOIN(", ",TRUE,_xlfn.UNIQUE(_xlfn._xlws.FILTER(Export[[DO or Franchise Name  ]],Export[offer]='Unique Offer Titles'!B129))))</f>
        <v/>
      </c>
      <c r="E129" t="str" cm="1">
        <f t="array" ref="E129">IF(B129="","",_xlfn.TEXTJOIN(", ",TRUE,_xlfn.UNIQUE(_xlfn._xlws.FILTER(Export[store],Export[offer]='Unique Offer Titles'!B129))))</f>
        <v/>
      </c>
    </row>
    <row r="130" spans="3:5" x14ac:dyDescent="0.25">
      <c r="C130" s="3" t="str" cm="1">
        <f t="array" ref="C130">IF(B130="","",COUNTA(_xlfn.UNIQUE(_xlfn._xlws.FILTER(Export[store],Export[offer]='Unique Offer Titles'!B130))))</f>
        <v/>
      </c>
      <c r="D130" t="str" cm="1">
        <f t="array" ref="D130">IF(B130="","",_xlfn.TEXTJOIN(", ",TRUE,_xlfn.UNIQUE(_xlfn._xlws.FILTER(Export[[DO or Franchise Name  ]],Export[offer]='Unique Offer Titles'!B130))))</f>
        <v/>
      </c>
      <c r="E130" t="str" cm="1">
        <f t="array" ref="E130">IF(B130="","",_xlfn.TEXTJOIN(", ",TRUE,_xlfn.UNIQUE(_xlfn._xlws.FILTER(Export[store],Export[offer]='Unique Offer Titles'!B130))))</f>
        <v/>
      </c>
    </row>
    <row r="131" spans="3:5" x14ac:dyDescent="0.25">
      <c r="C131" s="3" t="str" cm="1">
        <f t="array" ref="C131">IF(B131="","",COUNTA(_xlfn.UNIQUE(_xlfn._xlws.FILTER(Export[store],Export[offer]='Unique Offer Titles'!B131))))</f>
        <v/>
      </c>
      <c r="D131" t="str" cm="1">
        <f t="array" ref="D131">IF(B131="","",_xlfn.TEXTJOIN(", ",TRUE,_xlfn.UNIQUE(_xlfn._xlws.FILTER(Export[[DO or Franchise Name  ]],Export[offer]='Unique Offer Titles'!B131))))</f>
        <v/>
      </c>
      <c r="E131" t="str" cm="1">
        <f t="array" ref="E131">IF(B131="","",_xlfn.TEXTJOIN(", ",TRUE,_xlfn.UNIQUE(_xlfn._xlws.FILTER(Export[store],Export[offer]='Unique Offer Titles'!B131))))</f>
        <v/>
      </c>
    </row>
    <row r="132" spans="3:5" x14ac:dyDescent="0.25">
      <c r="C132" s="3" t="str" cm="1">
        <f t="array" ref="C132">IF(B132="","",COUNTA(_xlfn.UNIQUE(_xlfn._xlws.FILTER(Export[store],Export[offer]='Unique Offer Titles'!B132))))</f>
        <v/>
      </c>
      <c r="D132" t="str" cm="1">
        <f t="array" ref="D132">IF(B132="","",_xlfn.TEXTJOIN(", ",TRUE,_xlfn.UNIQUE(_xlfn._xlws.FILTER(Export[[DO or Franchise Name  ]],Export[offer]='Unique Offer Titles'!B132))))</f>
        <v/>
      </c>
      <c r="E132" t="str" cm="1">
        <f t="array" ref="E132">IF(B132="","",_xlfn.TEXTJOIN(", ",TRUE,_xlfn.UNIQUE(_xlfn._xlws.FILTER(Export[store],Export[offer]='Unique Offer Titles'!B132))))</f>
        <v/>
      </c>
    </row>
    <row r="133" spans="3:5" x14ac:dyDescent="0.25">
      <c r="C133" s="3" t="str" cm="1">
        <f t="array" ref="C133">IF(B133="","",COUNTA(_xlfn.UNIQUE(_xlfn._xlws.FILTER(Export[store],Export[offer]='Unique Offer Titles'!B133))))</f>
        <v/>
      </c>
      <c r="D133" t="str" cm="1">
        <f t="array" ref="D133">IF(B133="","",_xlfn.TEXTJOIN(", ",TRUE,_xlfn.UNIQUE(_xlfn._xlws.FILTER(Export[[DO or Franchise Name  ]],Export[offer]='Unique Offer Titles'!B133))))</f>
        <v/>
      </c>
      <c r="E133" t="str" cm="1">
        <f t="array" ref="E133">IF(B133="","",_xlfn.TEXTJOIN(", ",TRUE,_xlfn.UNIQUE(_xlfn._xlws.FILTER(Export[store],Export[offer]='Unique Offer Titles'!B133))))</f>
        <v/>
      </c>
    </row>
    <row r="134" spans="3:5" x14ac:dyDescent="0.25">
      <c r="C134" s="3" t="str" cm="1">
        <f t="array" ref="C134">IF(B134="","",COUNTA(_xlfn.UNIQUE(_xlfn._xlws.FILTER(Export[store],Export[offer]='Unique Offer Titles'!B134))))</f>
        <v/>
      </c>
      <c r="D134" t="str" cm="1">
        <f t="array" ref="D134">IF(B134="","",_xlfn.TEXTJOIN(", ",TRUE,_xlfn.UNIQUE(_xlfn._xlws.FILTER(Export[[DO or Franchise Name  ]],Export[offer]='Unique Offer Titles'!B134))))</f>
        <v/>
      </c>
      <c r="E134" t="str" cm="1">
        <f t="array" ref="E134">IF(B134="","",_xlfn.TEXTJOIN(", ",TRUE,_xlfn.UNIQUE(_xlfn._xlws.FILTER(Export[store],Export[offer]='Unique Offer Titles'!B134))))</f>
        <v/>
      </c>
    </row>
    <row r="135" spans="3:5" x14ac:dyDescent="0.25">
      <c r="C135" s="3" t="str" cm="1">
        <f t="array" ref="C135">IF(B135="","",COUNTA(_xlfn.UNIQUE(_xlfn._xlws.FILTER(Export[store],Export[offer]='Unique Offer Titles'!B135))))</f>
        <v/>
      </c>
      <c r="D135" t="str" cm="1">
        <f t="array" ref="D135">IF(B135="","",_xlfn.TEXTJOIN(", ",TRUE,_xlfn.UNIQUE(_xlfn._xlws.FILTER(Export[[DO or Franchise Name  ]],Export[offer]='Unique Offer Titles'!B135))))</f>
        <v/>
      </c>
      <c r="E135" t="str" cm="1">
        <f t="array" ref="E135">IF(B135="","",_xlfn.TEXTJOIN(", ",TRUE,_xlfn.UNIQUE(_xlfn._xlws.FILTER(Export[store],Export[offer]='Unique Offer Titles'!B135))))</f>
        <v/>
      </c>
    </row>
    <row r="136" spans="3:5" x14ac:dyDescent="0.25">
      <c r="C136" s="3" t="str" cm="1">
        <f t="array" ref="C136">IF(B136="","",COUNTA(_xlfn.UNIQUE(_xlfn._xlws.FILTER(Export[store],Export[offer]='Unique Offer Titles'!B136))))</f>
        <v/>
      </c>
      <c r="D136" t="str" cm="1">
        <f t="array" ref="D136">IF(B136="","",_xlfn.TEXTJOIN(", ",TRUE,_xlfn.UNIQUE(_xlfn._xlws.FILTER(Export[[DO or Franchise Name  ]],Export[offer]='Unique Offer Titles'!B136))))</f>
        <v/>
      </c>
      <c r="E136" t="str" cm="1">
        <f t="array" ref="E136">IF(B136="","",_xlfn.TEXTJOIN(", ",TRUE,_xlfn.UNIQUE(_xlfn._xlws.FILTER(Export[store],Export[offer]='Unique Offer Titles'!B136))))</f>
        <v/>
      </c>
    </row>
    <row r="137" spans="3:5" x14ac:dyDescent="0.25">
      <c r="C137" s="3" t="str" cm="1">
        <f t="array" ref="C137">IF(B137="","",COUNTA(_xlfn.UNIQUE(_xlfn._xlws.FILTER(Export[store],Export[offer]='Unique Offer Titles'!B137))))</f>
        <v/>
      </c>
      <c r="D137" t="str" cm="1">
        <f t="array" ref="D137">IF(B137="","",_xlfn.TEXTJOIN(", ",TRUE,_xlfn.UNIQUE(_xlfn._xlws.FILTER(Export[[DO or Franchise Name  ]],Export[offer]='Unique Offer Titles'!B137))))</f>
        <v/>
      </c>
      <c r="E137" t="str" cm="1">
        <f t="array" ref="E137">IF(B137="","",_xlfn.TEXTJOIN(", ",TRUE,_xlfn.UNIQUE(_xlfn._xlws.FILTER(Export[store],Export[offer]='Unique Offer Titles'!B137))))</f>
        <v/>
      </c>
    </row>
    <row r="138" spans="3:5" x14ac:dyDescent="0.25">
      <c r="C138" s="3" t="str" cm="1">
        <f t="array" ref="C138">IF(B138="","",COUNTA(_xlfn.UNIQUE(_xlfn._xlws.FILTER(Export[store],Export[offer]='Unique Offer Titles'!B138))))</f>
        <v/>
      </c>
      <c r="D138" t="str" cm="1">
        <f t="array" ref="D138">IF(B138="","",_xlfn.TEXTJOIN(", ",TRUE,_xlfn.UNIQUE(_xlfn._xlws.FILTER(Export[[DO or Franchise Name  ]],Export[offer]='Unique Offer Titles'!B138))))</f>
        <v/>
      </c>
      <c r="E138" t="str" cm="1">
        <f t="array" ref="E138">IF(B138="","",_xlfn.TEXTJOIN(", ",TRUE,_xlfn.UNIQUE(_xlfn._xlws.FILTER(Export[store],Export[offer]='Unique Offer Titles'!B138))))</f>
        <v/>
      </c>
    </row>
    <row r="139" spans="3:5" x14ac:dyDescent="0.25">
      <c r="C139" s="3" t="str" cm="1">
        <f t="array" ref="C139">IF(B139="","",COUNTA(_xlfn.UNIQUE(_xlfn._xlws.FILTER(Export[store],Export[offer]='Unique Offer Titles'!B139))))</f>
        <v/>
      </c>
      <c r="D139" t="str" cm="1">
        <f t="array" ref="D139">IF(B139="","",_xlfn.TEXTJOIN(", ",TRUE,_xlfn.UNIQUE(_xlfn._xlws.FILTER(Export[[DO or Franchise Name  ]],Export[offer]='Unique Offer Titles'!B139))))</f>
        <v/>
      </c>
      <c r="E139" t="str" cm="1">
        <f t="array" ref="E139">IF(B139="","",_xlfn.TEXTJOIN(", ",TRUE,_xlfn.UNIQUE(_xlfn._xlws.FILTER(Export[store],Export[offer]='Unique Offer Titles'!B139))))</f>
        <v/>
      </c>
    </row>
    <row r="140" spans="3:5" x14ac:dyDescent="0.25">
      <c r="C140" s="3" t="str" cm="1">
        <f t="array" ref="C140">IF(B140="","",COUNTA(_xlfn.UNIQUE(_xlfn._xlws.FILTER(Export[store],Export[offer]='Unique Offer Titles'!B140))))</f>
        <v/>
      </c>
      <c r="D140" t="str" cm="1">
        <f t="array" ref="D140">IF(B140="","",_xlfn.TEXTJOIN(", ",TRUE,_xlfn.UNIQUE(_xlfn._xlws.FILTER(Export[[DO or Franchise Name  ]],Export[offer]='Unique Offer Titles'!B140))))</f>
        <v/>
      </c>
      <c r="E140" t="str" cm="1">
        <f t="array" ref="E140">IF(B140="","",_xlfn.TEXTJOIN(", ",TRUE,_xlfn.UNIQUE(_xlfn._xlws.FILTER(Export[store],Export[offer]='Unique Offer Titles'!B140))))</f>
        <v/>
      </c>
    </row>
    <row r="141" spans="3:5" x14ac:dyDescent="0.25">
      <c r="C141" s="3" t="str" cm="1">
        <f t="array" ref="C141">IF(B141="","",COUNTA(_xlfn.UNIQUE(_xlfn._xlws.FILTER(Export[store],Export[offer]='Unique Offer Titles'!B141))))</f>
        <v/>
      </c>
      <c r="D141" t="str" cm="1">
        <f t="array" ref="D141">IF(B141="","",_xlfn.TEXTJOIN(", ",TRUE,_xlfn.UNIQUE(_xlfn._xlws.FILTER(Export[[DO or Franchise Name  ]],Export[offer]='Unique Offer Titles'!B141))))</f>
        <v/>
      </c>
      <c r="E141" t="str" cm="1">
        <f t="array" ref="E141">IF(B141="","",_xlfn.TEXTJOIN(", ",TRUE,_xlfn.UNIQUE(_xlfn._xlws.FILTER(Export[store],Export[offer]='Unique Offer Titles'!B141))))</f>
        <v/>
      </c>
    </row>
    <row r="142" spans="3:5" x14ac:dyDescent="0.25">
      <c r="C142" s="3" t="str" cm="1">
        <f t="array" ref="C142">IF(B142="","",COUNTA(_xlfn.UNIQUE(_xlfn._xlws.FILTER(Export[store],Export[offer]='Unique Offer Titles'!B142))))</f>
        <v/>
      </c>
      <c r="D142" t="str" cm="1">
        <f t="array" ref="D142">IF(B142="","",_xlfn.TEXTJOIN(", ",TRUE,_xlfn.UNIQUE(_xlfn._xlws.FILTER(Export[[DO or Franchise Name  ]],Export[offer]='Unique Offer Titles'!B142))))</f>
        <v/>
      </c>
      <c r="E142" t="str" cm="1">
        <f t="array" ref="E142">IF(B142="","",_xlfn.TEXTJOIN(", ",TRUE,_xlfn.UNIQUE(_xlfn._xlws.FILTER(Export[store],Export[offer]='Unique Offer Titles'!B142))))</f>
        <v/>
      </c>
    </row>
    <row r="143" spans="3:5" x14ac:dyDescent="0.25">
      <c r="C143" s="3" t="str" cm="1">
        <f t="array" ref="C143">IF(B143="","",COUNTA(_xlfn.UNIQUE(_xlfn._xlws.FILTER(Export[store],Export[offer]='Unique Offer Titles'!B143))))</f>
        <v/>
      </c>
      <c r="D143" t="str" cm="1">
        <f t="array" ref="D143">IF(B143="","",_xlfn.TEXTJOIN(", ",TRUE,_xlfn.UNIQUE(_xlfn._xlws.FILTER(Export[[DO or Franchise Name  ]],Export[offer]='Unique Offer Titles'!B143))))</f>
        <v/>
      </c>
      <c r="E143" t="str" cm="1">
        <f t="array" ref="E143">IF(B143="","",_xlfn.TEXTJOIN(", ",TRUE,_xlfn.UNIQUE(_xlfn._xlws.FILTER(Export[store],Export[offer]='Unique Offer Titles'!B143))))</f>
        <v/>
      </c>
    </row>
    <row r="144" spans="3:5" x14ac:dyDescent="0.25">
      <c r="C144" s="3" t="str" cm="1">
        <f t="array" ref="C144">IF(B144="","",COUNTA(_xlfn.UNIQUE(_xlfn._xlws.FILTER(Export[store],Export[offer]='Unique Offer Titles'!B144))))</f>
        <v/>
      </c>
      <c r="D144" t="str" cm="1">
        <f t="array" ref="D144">IF(B144="","",_xlfn.TEXTJOIN(", ",TRUE,_xlfn.UNIQUE(_xlfn._xlws.FILTER(Export[[DO or Franchise Name  ]],Export[offer]='Unique Offer Titles'!B144))))</f>
        <v/>
      </c>
      <c r="E144" t="str" cm="1">
        <f t="array" ref="E144">IF(B144="","",_xlfn.TEXTJOIN(", ",TRUE,_xlfn.UNIQUE(_xlfn._xlws.FILTER(Export[store],Export[offer]='Unique Offer Titles'!B144))))</f>
        <v/>
      </c>
    </row>
    <row r="145" spans="3:5" x14ac:dyDescent="0.25">
      <c r="C145" s="3" t="str" cm="1">
        <f t="array" ref="C145">IF(B145="","",COUNTA(_xlfn.UNIQUE(_xlfn._xlws.FILTER(Export[store],Export[offer]='Unique Offer Titles'!B145))))</f>
        <v/>
      </c>
      <c r="D145" t="str" cm="1">
        <f t="array" ref="D145">IF(B145="","",_xlfn.TEXTJOIN(", ",TRUE,_xlfn.UNIQUE(_xlfn._xlws.FILTER(Export[[DO or Franchise Name  ]],Export[offer]='Unique Offer Titles'!B145))))</f>
        <v/>
      </c>
      <c r="E145" t="str" cm="1">
        <f t="array" ref="E145">IF(B145="","",_xlfn.TEXTJOIN(", ",TRUE,_xlfn.UNIQUE(_xlfn._xlws.FILTER(Export[store],Export[offer]='Unique Offer Titles'!B145))))</f>
        <v/>
      </c>
    </row>
    <row r="146" spans="3:5" x14ac:dyDescent="0.25">
      <c r="C146" s="3" t="str" cm="1">
        <f t="array" ref="C146">IF(B146="","",COUNTA(_xlfn.UNIQUE(_xlfn._xlws.FILTER(Export[store],Export[offer]='Unique Offer Titles'!B146))))</f>
        <v/>
      </c>
      <c r="D146" t="str" cm="1">
        <f t="array" ref="D146">IF(B146="","",_xlfn.TEXTJOIN(", ",TRUE,_xlfn.UNIQUE(_xlfn._xlws.FILTER(Export[[DO or Franchise Name  ]],Export[offer]='Unique Offer Titles'!B146))))</f>
        <v/>
      </c>
      <c r="E146" t="str" cm="1">
        <f t="array" ref="E146">IF(B146="","",_xlfn.TEXTJOIN(", ",TRUE,_xlfn.UNIQUE(_xlfn._xlws.FILTER(Export[store],Export[offer]='Unique Offer Titles'!B146))))</f>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662CF-55B2-4CAD-8F52-3F0B1449FEC1}">
  <sheetPr codeName="Sheet2"/>
  <dimension ref="A1:G414"/>
  <sheetViews>
    <sheetView workbookViewId="0">
      <selection activeCell="J74" sqref="J74"/>
    </sheetView>
  </sheetViews>
  <sheetFormatPr defaultRowHeight="15" x14ac:dyDescent="0.25"/>
  <cols>
    <col min="1" max="1" width="14.5703125" bestFit="1" customWidth="1"/>
    <col min="2" max="2" width="22.85546875" bestFit="1" customWidth="1"/>
    <col min="3" max="3" width="7.42578125" bestFit="1" customWidth="1"/>
    <col min="4" max="4" width="40.28515625" bestFit="1" customWidth="1"/>
    <col min="5" max="5" width="80.85546875" bestFit="1" customWidth="1"/>
    <col min="6" max="6" width="7.28515625" bestFit="1" customWidth="1"/>
    <col min="7" max="7" width="11" bestFit="1" customWidth="1"/>
  </cols>
  <sheetData>
    <row r="1" spans="1:7" x14ac:dyDescent="0.25">
      <c r="A1" t="s">
        <v>0</v>
      </c>
      <c r="B1" t="s">
        <v>1</v>
      </c>
      <c r="C1" t="s">
        <v>2</v>
      </c>
      <c r="D1" t="s">
        <v>3</v>
      </c>
      <c r="E1" t="s">
        <v>4</v>
      </c>
      <c r="F1" t="s">
        <v>5</v>
      </c>
      <c r="G1" t="s">
        <v>11</v>
      </c>
    </row>
    <row r="2" spans="1:7" hidden="1" x14ac:dyDescent="0.25">
      <c r="B2" t="str">
        <f>_xlfn.XLOOKUP(Export[[#This Row],[store]],Table2[store '#],Table2[Franchise])</f>
        <v>Portland</v>
      </c>
      <c r="C2">
        <v>1740</v>
      </c>
      <c r="D2" t="s">
        <v>76</v>
      </c>
      <c r="E2" t="s">
        <v>77</v>
      </c>
      <c r="F2" s="4">
        <v>13.99</v>
      </c>
      <c r="G2" s="4">
        <v>13.99</v>
      </c>
    </row>
    <row r="3" spans="1:7" hidden="1" x14ac:dyDescent="0.25">
      <c r="B3" t="str">
        <f>_xlfn.XLOOKUP(Export[[#This Row],[store]],Table2[store '#],Table2[Franchise])</f>
        <v>Portland</v>
      </c>
      <c r="C3">
        <v>1740</v>
      </c>
      <c r="D3" t="s">
        <v>6</v>
      </c>
      <c r="E3" t="s">
        <v>61</v>
      </c>
      <c r="F3" s="4">
        <v>6.99</v>
      </c>
      <c r="G3" s="4">
        <v>6.99</v>
      </c>
    </row>
    <row r="4" spans="1:7" hidden="1" x14ac:dyDescent="0.25">
      <c r="B4" t="str">
        <f>_xlfn.XLOOKUP(Export[[#This Row],[store]],Table2[store '#],Table2[Franchise])</f>
        <v>Portland</v>
      </c>
      <c r="C4">
        <v>1740</v>
      </c>
      <c r="D4" t="s">
        <v>17</v>
      </c>
      <c r="E4" t="s">
        <v>18</v>
      </c>
      <c r="F4" s="4">
        <v>9.99</v>
      </c>
      <c r="G4" s="4">
        <v>9.99</v>
      </c>
    </row>
    <row r="5" spans="1:7" hidden="1" x14ac:dyDescent="0.25">
      <c r="B5" t="str">
        <f>_xlfn.XLOOKUP(Export[[#This Row],[store]],Table2[store '#],Table2[Franchise])</f>
        <v>Portland</v>
      </c>
      <c r="C5">
        <v>1740</v>
      </c>
      <c r="D5" t="s">
        <v>19</v>
      </c>
      <c r="E5" t="s">
        <v>20</v>
      </c>
      <c r="F5" s="4">
        <v>12.99</v>
      </c>
      <c r="G5" s="4">
        <v>12.99</v>
      </c>
    </row>
    <row r="6" spans="1:7" hidden="1" x14ac:dyDescent="0.25">
      <c r="B6" t="str">
        <f>_xlfn.XLOOKUP(Export[[#This Row],[store]],Table2[store '#],Table2[Franchise])</f>
        <v>Portland</v>
      </c>
      <c r="C6">
        <v>1740</v>
      </c>
      <c r="D6" t="s">
        <v>35</v>
      </c>
      <c r="E6" t="s">
        <v>36</v>
      </c>
      <c r="F6" s="4">
        <v>14.99</v>
      </c>
      <c r="G6" s="4">
        <v>14.99</v>
      </c>
    </row>
    <row r="7" spans="1:7" hidden="1" x14ac:dyDescent="0.25">
      <c r="B7" t="str">
        <f>_xlfn.XLOOKUP(Export[[#This Row],[store]],Table2[store '#],Table2[Franchise])</f>
        <v>Portland</v>
      </c>
      <c r="C7">
        <v>1740</v>
      </c>
      <c r="D7" t="s">
        <v>27</v>
      </c>
      <c r="E7" t="s">
        <v>37</v>
      </c>
      <c r="F7" s="4">
        <v>18.989999999999998</v>
      </c>
      <c r="G7" s="4">
        <v>18.989999999999998</v>
      </c>
    </row>
    <row r="8" spans="1:7" hidden="1" x14ac:dyDescent="0.25">
      <c r="B8" t="str">
        <f>_xlfn.XLOOKUP(Export[[#This Row],[store]],Table2[store '#],Table2[Franchise])</f>
        <v>Portland</v>
      </c>
      <c r="C8">
        <v>1740</v>
      </c>
      <c r="D8" t="s">
        <v>23</v>
      </c>
      <c r="E8" t="s">
        <v>24</v>
      </c>
      <c r="F8" s="5">
        <v>10</v>
      </c>
      <c r="G8" s="5">
        <v>10</v>
      </c>
    </row>
    <row r="9" spans="1:7" hidden="1" x14ac:dyDescent="0.25">
      <c r="B9" t="str">
        <f>_xlfn.XLOOKUP(Export[[#This Row],[store]],Table2[store '#],Table2[Franchise])</f>
        <v>Portland</v>
      </c>
      <c r="C9">
        <v>1740</v>
      </c>
      <c r="D9" t="s">
        <v>38</v>
      </c>
      <c r="E9" t="s">
        <v>39</v>
      </c>
      <c r="F9" s="4">
        <v>13.99</v>
      </c>
      <c r="G9" s="4">
        <v>13.99</v>
      </c>
    </row>
    <row r="10" spans="1:7" hidden="1" x14ac:dyDescent="0.25">
      <c r="B10" t="str">
        <f>_xlfn.XLOOKUP(Export[[#This Row],[store]],Table2[store '#],Table2[Franchise])</f>
        <v>Portland</v>
      </c>
      <c r="C10">
        <v>1740</v>
      </c>
      <c r="D10" t="s">
        <v>40</v>
      </c>
      <c r="E10" t="s">
        <v>41</v>
      </c>
      <c r="F10" s="4">
        <v>17.989999999999998</v>
      </c>
      <c r="G10" s="4">
        <v>17.989999999999998</v>
      </c>
    </row>
    <row r="11" spans="1:7" hidden="1" x14ac:dyDescent="0.25">
      <c r="B11" t="str">
        <f>_xlfn.XLOOKUP(Export[[#This Row],[store]],Table2[store '#],Table2[Franchise])</f>
        <v>Portland</v>
      </c>
      <c r="C11">
        <v>1740</v>
      </c>
      <c r="D11" t="s">
        <v>42</v>
      </c>
      <c r="E11" t="s">
        <v>43</v>
      </c>
      <c r="F11" s="4">
        <v>25.98</v>
      </c>
      <c r="G11" s="4">
        <v>25.98</v>
      </c>
    </row>
    <row r="12" spans="1:7" hidden="1" x14ac:dyDescent="0.25">
      <c r="B12" t="str">
        <f>_xlfn.XLOOKUP(Export[[#This Row],[store]],Table2[store '#],Table2[Franchise])</f>
        <v>Portland</v>
      </c>
      <c r="C12">
        <v>1740</v>
      </c>
      <c r="D12" t="s">
        <v>21</v>
      </c>
      <c r="E12" t="s">
        <v>22</v>
      </c>
      <c r="F12" s="4">
        <v>15.99</v>
      </c>
      <c r="G12" s="4">
        <v>15.99</v>
      </c>
    </row>
    <row r="13" spans="1:7" hidden="1" x14ac:dyDescent="0.25">
      <c r="B13" t="str">
        <f>_xlfn.XLOOKUP(Export[[#This Row],[store]],Table2[store '#],Table2[Franchise])</f>
        <v>Portland</v>
      </c>
      <c r="C13">
        <v>1740</v>
      </c>
      <c r="D13" t="s">
        <v>33</v>
      </c>
      <c r="E13" t="s">
        <v>34</v>
      </c>
      <c r="F13" s="4">
        <v>29.99</v>
      </c>
      <c r="G13" s="4">
        <v>29.99</v>
      </c>
    </row>
    <row r="14" spans="1:7" hidden="1" x14ac:dyDescent="0.25">
      <c r="B14" t="str">
        <f>_xlfn.XLOOKUP(Export[[#This Row],[store]],Table2[store '#],Table2[Franchise])</f>
        <v>Portland</v>
      </c>
      <c r="C14">
        <v>1740</v>
      </c>
      <c r="D14" t="s">
        <v>31</v>
      </c>
      <c r="E14" t="s">
        <v>32</v>
      </c>
      <c r="F14" s="4">
        <v>15.99</v>
      </c>
      <c r="G14" s="4">
        <v>15.99</v>
      </c>
    </row>
    <row r="15" spans="1:7" hidden="1" x14ac:dyDescent="0.25">
      <c r="B15" t="str">
        <f>_xlfn.XLOOKUP(Export[[#This Row],[store]],Table2[store '#],Table2[Franchise])</f>
        <v>Portland</v>
      </c>
      <c r="C15">
        <v>1740</v>
      </c>
      <c r="D15" t="s">
        <v>44</v>
      </c>
      <c r="E15" t="s">
        <v>45</v>
      </c>
      <c r="F15" s="4">
        <v>20.99</v>
      </c>
      <c r="G15" s="4">
        <v>20.99</v>
      </c>
    </row>
    <row r="16" spans="1:7" hidden="1" x14ac:dyDescent="0.25">
      <c r="B16" t="str">
        <f>_xlfn.XLOOKUP(Export[[#This Row],[store]],Table2[store '#],Table2[Franchise])</f>
        <v>Portland</v>
      </c>
      <c r="C16">
        <v>1740</v>
      </c>
      <c r="D16" t="s">
        <v>78</v>
      </c>
      <c r="E16" t="s">
        <v>79</v>
      </c>
      <c r="F16" s="4">
        <v>6.99</v>
      </c>
      <c r="G16" s="4">
        <v>6.99</v>
      </c>
    </row>
    <row r="17" spans="2:7" hidden="1" x14ac:dyDescent="0.25">
      <c r="B17" t="str">
        <f>_xlfn.XLOOKUP(Export[[#This Row],[store]],Table2[store '#],Table2[Franchise])</f>
        <v>Portland</v>
      </c>
      <c r="C17">
        <v>1740</v>
      </c>
      <c r="D17" t="s">
        <v>80</v>
      </c>
      <c r="E17" t="s">
        <v>81</v>
      </c>
      <c r="F17" s="4">
        <v>4.99</v>
      </c>
      <c r="G17" s="4">
        <v>4.99</v>
      </c>
    </row>
    <row r="18" spans="2:7" ht="30" hidden="1" x14ac:dyDescent="0.25">
      <c r="B18" t="str">
        <f>_xlfn.XLOOKUP(Export[[#This Row],[store]],Table2[store '#],Table2[Franchise])</f>
        <v>Portland</v>
      </c>
      <c r="C18">
        <v>1740</v>
      </c>
      <c r="D18" t="s">
        <v>62</v>
      </c>
      <c r="E18" s="6" t="s">
        <v>63</v>
      </c>
    </row>
    <row r="19" spans="2:7" hidden="1" x14ac:dyDescent="0.25">
      <c r="B19" t="str">
        <f>_xlfn.XLOOKUP(Export[[#This Row],[store]],Table2[store '#],Table2[Franchise])</f>
        <v>Portland</v>
      </c>
      <c r="C19">
        <v>1743</v>
      </c>
      <c r="D19" t="s">
        <v>76</v>
      </c>
      <c r="E19" t="s">
        <v>77</v>
      </c>
      <c r="F19" s="4">
        <v>13.99</v>
      </c>
      <c r="G19" s="4">
        <v>13.99</v>
      </c>
    </row>
    <row r="20" spans="2:7" hidden="1" x14ac:dyDescent="0.25">
      <c r="B20" t="str">
        <f>_xlfn.XLOOKUP(Export[[#This Row],[store]],Table2[store '#],Table2[Franchise])</f>
        <v>Portland</v>
      </c>
      <c r="C20">
        <v>1743</v>
      </c>
      <c r="D20" t="s">
        <v>6</v>
      </c>
      <c r="E20" t="s">
        <v>61</v>
      </c>
      <c r="F20" s="4">
        <v>6.99</v>
      </c>
      <c r="G20" s="4">
        <v>6.99</v>
      </c>
    </row>
    <row r="21" spans="2:7" hidden="1" x14ac:dyDescent="0.25">
      <c r="B21" t="str">
        <f>_xlfn.XLOOKUP(Export[[#This Row],[store]],Table2[store '#],Table2[Franchise])</f>
        <v>Portland</v>
      </c>
      <c r="C21">
        <v>1743</v>
      </c>
      <c r="D21" t="s">
        <v>17</v>
      </c>
      <c r="E21" t="s">
        <v>18</v>
      </c>
      <c r="F21" s="4">
        <v>9.99</v>
      </c>
      <c r="G21" s="4">
        <v>9.99</v>
      </c>
    </row>
    <row r="22" spans="2:7" hidden="1" x14ac:dyDescent="0.25">
      <c r="B22" t="str">
        <f>_xlfn.XLOOKUP(Export[[#This Row],[store]],Table2[store '#],Table2[Franchise])</f>
        <v>Portland</v>
      </c>
      <c r="C22">
        <v>1743</v>
      </c>
      <c r="D22" t="s">
        <v>19</v>
      </c>
      <c r="E22" t="s">
        <v>20</v>
      </c>
      <c r="F22" s="4">
        <v>12.99</v>
      </c>
      <c r="G22" s="4">
        <v>12.99</v>
      </c>
    </row>
    <row r="23" spans="2:7" hidden="1" x14ac:dyDescent="0.25">
      <c r="B23" t="str">
        <f>_xlfn.XLOOKUP(Export[[#This Row],[store]],Table2[store '#],Table2[Franchise])</f>
        <v>Portland</v>
      </c>
      <c r="C23">
        <v>1743</v>
      </c>
      <c r="D23" t="s">
        <v>35</v>
      </c>
      <c r="E23" t="s">
        <v>36</v>
      </c>
      <c r="F23" s="4">
        <v>14.99</v>
      </c>
      <c r="G23" s="4">
        <v>14.99</v>
      </c>
    </row>
    <row r="24" spans="2:7" hidden="1" x14ac:dyDescent="0.25">
      <c r="B24" t="str">
        <f>_xlfn.XLOOKUP(Export[[#This Row],[store]],Table2[store '#],Table2[Franchise])</f>
        <v>Portland</v>
      </c>
      <c r="C24">
        <v>1743</v>
      </c>
      <c r="D24" t="s">
        <v>27</v>
      </c>
      <c r="E24" t="s">
        <v>37</v>
      </c>
      <c r="F24" s="4">
        <v>18.989999999999998</v>
      </c>
      <c r="G24" s="4">
        <v>18.989999999999998</v>
      </c>
    </row>
    <row r="25" spans="2:7" hidden="1" x14ac:dyDescent="0.25">
      <c r="B25" t="str">
        <f>_xlfn.XLOOKUP(Export[[#This Row],[store]],Table2[store '#],Table2[Franchise])</f>
        <v>Portland</v>
      </c>
      <c r="C25">
        <v>1743</v>
      </c>
      <c r="D25" t="s">
        <v>23</v>
      </c>
      <c r="E25" t="s">
        <v>24</v>
      </c>
      <c r="F25" s="5">
        <v>10</v>
      </c>
      <c r="G25" s="5">
        <v>10</v>
      </c>
    </row>
    <row r="26" spans="2:7" hidden="1" x14ac:dyDescent="0.25">
      <c r="B26" t="str">
        <f>_xlfn.XLOOKUP(Export[[#This Row],[store]],Table2[store '#],Table2[Franchise])</f>
        <v>Portland</v>
      </c>
      <c r="C26">
        <v>1743</v>
      </c>
      <c r="D26" t="s">
        <v>38</v>
      </c>
      <c r="E26" t="s">
        <v>39</v>
      </c>
      <c r="F26" s="4">
        <v>13.99</v>
      </c>
      <c r="G26" s="4">
        <v>13.99</v>
      </c>
    </row>
    <row r="27" spans="2:7" hidden="1" x14ac:dyDescent="0.25">
      <c r="B27" t="str">
        <f>_xlfn.XLOOKUP(Export[[#This Row],[store]],Table2[store '#],Table2[Franchise])</f>
        <v>Portland</v>
      </c>
      <c r="C27">
        <v>1743</v>
      </c>
      <c r="D27" t="s">
        <v>40</v>
      </c>
      <c r="E27" t="s">
        <v>41</v>
      </c>
      <c r="F27" s="4">
        <v>17.989999999999998</v>
      </c>
      <c r="G27" s="4">
        <v>17.989999999999998</v>
      </c>
    </row>
    <row r="28" spans="2:7" hidden="1" x14ac:dyDescent="0.25">
      <c r="B28" t="str">
        <f>_xlfn.XLOOKUP(Export[[#This Row],[store]],Table2[store '#],Table2[Franchise])</f>
        <v>Portland</v>
      </c>
      <c r="C28">
        <v>1743</v>
      </c>
      <c r="D28" t="s">
        <v>42</v>
      </c>
      <c r="E28" t="s">
        <v>43</v>
      </c>
      <c r="F28" s="4">
        <v>25.98</v>
      </c>
      <c r="G28" s="4">
        <v>25.98</v>
      </c>
    </row>
    <row r="29" spans="2:7" hidden="1" x14ac:dyDescent="0.25">
      <c r="B29" t="str">
        <f>_xlfn.XLOOKUP(Export[[#This Row],[store]],Table2[store '#],Table2[Franchise])</f>
        <v>Portland</v>
      </c>
      <c r="C29">
        <v>1743</v>
      </c>
      <c r="D29" t="s">
        <v>21</v>
      </c>
      <c r="E29" t="s">
        <v>22</v>
      </c>
      <c r="F29" s="4">
        <v>15.99</v>
      </c>
      <c r="G29" s="4">
        <v>15.99</v>
      </c>
    </row>
    <row r="30" spans="2:7" hidden="1" x14ac:dyDescent="0.25">
      <c r="B30" t="str">
        <f>_xlfn.XLOOKUP(Export[[#This Row],[store]],Table2[store '#],Table2[Franchise])</f>
        <v>Portland</v>
      </c>
      <c r="C30">
        <v>1743</v>
      </c>
      <c r="D30" t="s">
        <v>33</v>
      </c>
      <c r="E30" t="s">
        <v>34</v>
      </c>
      <c r="F30" s="4">
        <v>29.99</v>
      </c>
      <c r="G30" s="4">
        <v>29.99</v>
      </c>
    </row>
    <row r="31" spans="2:7" hidden="1" x14ac:dyDescent="0.25">
      <c r="B31" t="str">
        <f>_xlfn.XLOOKUP(Export[[#This Row],[store]],Table2[store '#],Table2[Franchise])</f>
        <v>Portland</v>
      </c>
      <c r="C31">
        <v>1743</v>
      </c>
      <c r="D31" t="s">
        <v>31</v>
      </c>
      <c r="E31" t="s">
        <v>32</v>
      </c>
      <c r="F31" s="4">
        <v>15.99</v>
      </c>
      <c r="G31" s="4">
        <v>15.99</v>
      </c>
    </row>
    <row r="32" spans="2:7" hidden="1" x14ac:dyDescent="0.25">
      <c r="B32" t="str">
        <f>_xlfn.XLOOKUP(Export[[#This Row],[store]],Table2[store '#],Table2[Franchise])</f>
        <v>Portland</v>
      </c>
      <c r="C32">
        <v>1743</v>
      </c>
      <c r="D32" t="s">
        <v>44</v>
      </c>
      <c r="E32" t="s">
        <v>45</v>
      </c>
      <c r="F32" s="4">
        <v>20.99</v>
      </c>
      <c r="G32" s="4">
        <v>20.99</v>
      </c>
    </row>
    <row r="33" spans="2:7" hidden="1" x14ac:dyDescent="0.25">
      <c r="B33" t="str">
        <f>_xlfn.XLOOKUP(Export[[#This Row],[store]],Table2[store '#],Table2[Franchise])</f>
        <v>Portland</v>
      </c>
      <c r="C33">
        <v>1743</v>
      </c>
      <c r="D33" t="s">
        <v>78</v>
      </c>
      <c r="E33" t="s">
        <v>79</v>
      </c>
      <c r="F33" s="4">
        <v>6.99</v>
      </c>
      <c r="G33" s="4">
        <v>6.99</v>
      </c>
    </row>
    <row r="34" spans="2:7" hidden="1" x14ac:dyDescent="0.25">
      <c r="B34" t="str">
        <f>_xlfn.XLOOKUP(Export[[#This Row],[store]],Table2[store '#],Table2[Franchise])</f>
        <v>Portland</v>
      </c>
      <c r="C34">
        <v>1743</v>
      </c>
      <c r="D34" t="s">
        <v>80</v>
      </c>
      <c r="E34" t="s">
        <v>81</v>
      </c>
      <c r="F34" s="4">
        <v>4.99</v>
      </c>
      <c r="G34" s="4">
        <v>4.99</v>
      </c>
    </row>
    <row r="35" spans="2:7" ht="30" hidden="1" x14ac:dyDescent="0.25">
      <c r="B35" t="str">
        <f>_xlfn.XLOOKUP(Export[[#This Row],[store]],Table2[store '#],Table2[Franchise])</f>
        <v>Portland</v>
      </c>
      <c r="C35">
        <v>1743</v>
      </c>
      <c r="D35" t="s">
        <v>62</v>
      </c>
      <c r="E35" s="6" t="s">
        <v>63</v>
      </c>
    </row>
    <row r="36" spans="2:7" hidden="1" x14ac:dyDescent="0.25">
      <c r="B36" t="str">
        <f>_xlfn.XLOOKUP(Export[[#This Row],[store]],Table2[store '#],Table2[Franchise])</f>
        <v>Portland</v>
      </c>
      <c r="C36">
        <v>2172</v>
      </c>
      <c r="D36" t="s">
        <v>76</v>
      </c>
      <c r="E36" t="s">
        <v>77</v>
      </c>
      <c r="F36" s="4">
        <v>13.99</v>
      </c>
      <c r="G36" s="4">
        <v>13.99</v>
      </c>
    </row>
    <row r="37" spans="2:7" hidden="1" x14ac:dyDescent="0.25">
      <c r="B37" t="str">
        <f>_xlfn.XLOOKUP(Export[[#This Row],[store]],Table2[store '#],Table2[Franchise])</f>
        <v>Portland</v>
      </c>
      <c r="C37">
        <v>2172</v>
      </c>
      <c r="D37" t="s">
        <v>6</v>
      </c>
      <c r="E37" t="s">
        <v>61</v>
      </c>
      <c r="F37" s="4">
        <v>6.99</v>
      </c>
      <c r="G37" s="4">
        <v>6.99</v>
      </c>
    </row>
    <row r="38" spans="2:7" hidden="1" x14ac:dyDescent="0.25">
      <c r="B38" t="str">
        <f>_xlfn.XLOOKUP(Export[[#This Row],[store]],Table2[store '#],Table2[Franchise])</f>
        <v>Portland</v>
      </c>
      <c r="C38">
        <v>2172</v>
      </c>
      <c r="D38" t="s">
        <v>17</v>
      </c>
      <c r="E38" t="s">
        <v>18</v>
      </c>
      <c r="F38" s="4">
        <v>9.99</v>
      </c>
      <c r="G38" s="4">
        <v>9.99</v>
      </c>
    </row>
    <row r="39" spans="2:7" hidden="1" x14ac:dyDescent="0.25">
      <c r="B39" t="str">
        <f>_xlfn.XLOOKUP(Export[[#This Row],[store]],Table2[store '#],Table2[Franchise])</f>
        <v>Portland</v>
      </c>
      <c r="C39">
        <v>2172</v>
      </c>
      <c r="D39" t="s">
        <v>19</v>
      </c>
      <c r="E39" t="s">
        <v>20</v>
      </c>
      <c r="F39" s="4">
        <v>12.99</v>
      </c>
      <c r="G39" s="4">
        <v>12.99</v>
      </c>
    </row>
    <row r="40" spans="2:7" hidden="1" x14ac:dyDescent="0.25">
      <c r="B40" t="str">
        <f>_xlfn.XLOOKUP(Export[[#This Row],[store]],Table2[store '#],Table2[Franchise])</f>
        <v>Portland</v>
      </c>
      <c r="C40">
        <v>2172</v>
      </c>
      <c r="D40" t="s">
        <v>35</v>
      </c>
      <c r="E40" t="s">
        <v>36</v>
      </c>
      <c r="F40" s="4">
        <v>14.99</v>
      </c>
      <c r="G40" s="4">
        <v>14.99</v>
      </c>
    </row>
    <row r="41" spans="2:7" hidden="1" x14ac:dyDescent="0.25">
      <c r="B41" t="str">
        <f>_xlfn.XLOOKUP(Export[[#This Row],[store]],Table2[store '#],Table2[Franchise])</f>
        <v>Portland</v>
      </c>
      <c r="C41">
        <v>2172</v>
      </c>
      <c r="D41" t="s">
        <v>27</v>
      </c>
      <c r="E41" t="s">
        <v>37</v>
      </c>
      <c r="F41" s="4">
        <v>18.989999999999998</v>
      </c>
      <c r="G41" s="4">
        <v>18.989999999999998</v>
      </c>
    </row>
    <row r="42" spans="2:7" hidden="1" x14ac:dyDescent="0.25">
      <c r="B42" t="str">
        <f>_xlfn.XLOOKUP(Export[[#This Row],[store]],Table2[store '#],Table2[Franchise])</f>
        <v>Portland</v>
      </c>
      <c r="C42">
        <v>2172</v>
      </c>
      <c r="D42" t="s">
        <v>23</v>
      </c>
      <c r="E42" t="s">
        <v>24</v>
      </c>
      <c r="F42" s="5">
        <v>10</v>
      </c>
      <c r="G42" s="5">
        <v>10</v>
      </c>
    </row>
    <row r="43" spans="2:7" hidden="1" x14ac:dyDescent="0.25">
      <c r="B43" t="str">
        <f>_xlfn.XLOOKUP(Export[[#This Row],[store]],Table2[store '#],Table2[Franchise])</f>
        <v>Portland</v>
      </c>
      <c r="C43">
        <v>2172</v>
      </c>
      <c r="D43" t="s">
        <v>38</v>
      </c>
      <c r="E43" t="s">
        <v>39</v>
      </c>
      <c r="F43" s="4">
        <v>13.99</v>
      </c>
      <c r="G43" s="4">
        <v>13.99</v>
      </c>
    </row>
    <row r="44" spans="2:7" hidden="1" x14ac:dyDescent="0.25">
      <c r="B44" t="str">
        <f>_xlfn.XLOOKUP(Export[[#This Row],[store]],Table2[store '#],Table2[Franchise])</f>
        <v>Portland</v>
      </c>
      <c r="C44">
        <v>2172</v>
      </c>
      <c r="D44" t="s">
        <v>40</v>
      </c>
      <c r="E44" t="s">
        <v>41</v>
      </c>
      <c r="F44" s="4">
        <v>17.989999999999998</v>
      </c>
      <c r="G44" s="4">
        <v>17.989999999999998</v>
      </c>
    </row>
    <row r="45" spans="2:7" hidden="1" x14ac:dyDescent="0.25">
      <c r="B45" t="str">
        <f>_xlfn.XLOOKUP(Export[[#This Row],[store]],Table2[store '#],Table2[Franchise])</f>
        <v>Portland</v>
      </c>
      <c r="C45">
        <v>2172</v>
      </c>
      <c r="D45" t="s">
        <v>42</v>
      </c>
      <c r="E45" t="s">
        <v>43</v>
      </c>
      <c r="F45" s="4">
        <v>25.98</v>
      </c>
      <c r="G45" s="4">
        <v>25.98</v>
      </c>
    </row>
    <row r="46" spans="2:7" hidden="1" x14ac:dyDescent="0.25">
      <c r="B46" t="str">
        <f>_xlfn.XLOOKUP(Export[[#This Row],[store]],Table2[store '#],Table2[Franchise])</f>
        <v>Portland</v>
      </c>
      <c r="C46">
        <v>2172</v>
      </c>
      <c r="D46" t="s">
        <v>21</v>
      </c>
      <c r="E46" t="s">
        <v>22</v>
      </c>
      <c r="F46" s="4">
        <v>15.99</v>
      </c>
      <c r="G46" s="4">
        <v>15.99</v>
      </c>
    </row>
    <row r="47" spans="2:7" hidden="1" x14ac:dyDescent="0.25">
      <c r="B47" t="str">
        <f>_xlfn.XLOOKUP(Export[[#This Row],[store]],Table2[store '#],Table2[Franchise])</f>
        <v>Portland</v>
      </c>
      <c r="C47">
        <v>2172</v>
      </c>
      <c r="D47" t="s">
        <v>33</v>
      </c>
      <c r="E47" t="s">
        <v>34</v>
      </c>
      <c r="F47" s="4">
        <v>29.99</v>
      </c>
      <c r="G47" s="4">
        <v>29.99</v>
      </c>
    </row>
    <row r="48" spans="2:7" hidden="1" x14ac:dyDescent="0.25">
      <c r="B48" t="str">
        <f>_xlfn.XLOOKUP(Export[[#This Row],[store]],Table2[store '#],Table2[Franchise])</f>
        <v>Portland</v>
      </c>
      <c r="C48">
        <v>2172</v>
      </c>
      <c r="D48" t="s">
        <v>31</v>
      </c>
      <c r="E48" t="s">
        <v>32</v>
      </c>
      <c r="F48" s="4">
        <v>15.99</v>
      </c>
      <c r="G48" s="4">
        <v>15.99</v>
      </c>
    </row>
    <row r="49" spans="2:7" hidden="1" x14ac:dyDescent="0.25">
      <c r="B49" t="str">
        <f>_xlfn.XLOOKUP(Export[[#This Row],[store]],Table2[store '#],Table2[Franchise])</f>
        <v>Portland</v>
      </c>
      <c r="C49">
        <v>2172</v>
      </c>
      <c r="D49" t="s">
        <v>44</v>
      </c>
      <c r="E49" t="s">
        <v>45</v>
      </c>
      <c r="F49" s="4">
        <v>20.99</v>
      </c>
      <c r="G49" s="4">
        <v>20.99</v>
      </c>
    </row>
    <row r="50" spans="2:7" hidden="1" x14ac:dyDescent="0.25">
      <c r="B50" t="str">
        <f>_xlfn.XLOOKUP(Export[[#This Row],[store]],Table2[store '#],Table2[Franchise])</f>
        <v>Portland</v>
      </c>
      <c r="C50">
        <v>2172</v>
      </c>
      <c r="D50" t="s">
        <v>78</v>
      </c>
      <c r="E50" t="s">
        <v>79</v>
      </c>
      <c r="F50" s="4">
        <v>6.99</v>
      </c>
      <c r="G50" s="4">
        <v>6.99</v>
      </c>
    </row>
    <row r="51" spans="2:7" hidden="1" x14ac:dyDescent="0.25">
      <c r="B51" t="str">
        <f>_xlfn.XLOOKUP(Export[[#This Row],[store]],Table2[store '#],Table2[Franchise])</f>
        <v>Portland</v>
      </c>
      <c r="C51">
        <v>2172</v>
      </c>
      <c r="D51" t="s">
        <v>80</v>
      </c>
      <c r="E51" t="s">
        <v>81</v>
      </c>
      <c r="F51" s="4">
        <v>4.99</v>
      </c>
      <c r="G51" s="4">
        <v>4.99</v>
      </c>
    </row>
    <row r="52" spans="2:7" ht="30" hidden="1" x14ac:dyDescent="0.25">
      <c r="B52" t="str">
        <f>_xlfn.XLOOKUP(Export[[#This Row],[store]],Table2[store '#],Table2[Franchise])</f>
        <v>Portland</v>
      </c>
      <c r="C52">
        <v>2172</v>
      </c>
      <c r="D52" t="s">
        <v>62</v>
      </c>
      <c r="E52" s="6" t="s">
        <v>63</v>
      </c>
    </row>
    <row r="53" spans="2:7" hidden="1" x14ac:dyDescent="0.25">
      <c r="B53" t="str">
        <f>_xlfn.XLOOKUP(Export[[#This Row],[store]],Table2[store '#],Table2[Franchise])</f>
        <v>Portland</v>
      </c>
      <c r="C53">
        <v>2174</v>
      </c>
      <c r="D53" t="s">
        <v>76</v>
      </c>
      <c r="E53" t="s">
        <v>77</v>
      </c>
      <c r="F53" s="4">
        <v>13.99</v>
      </c>
      <c r="G53" s="4">
        <v>13.99</v>
      </c>
    </row>
    <row r="54" spans="2:7" hidden="1" x14ac:dyDescent="0.25">
      <c r="B54" t="str">
        <f>_xlfn.XLOOKUP(Export[[#This Row],[store]],Table2[store '#],Table2[Franchise])</f>
        <v>Portland</v>
      </c>
      <c r="C54">
        <v>2174</v>
      </c>
      <c r="D54" t="s">
        <v>6</v>
      </c>
      <c r="E54" t="s">
        <v>61</v>
      </c>
      <c r="F54" s="4">
        <v>6.99</v>
      </c>
      <c r="G54" s="4">
        <v>6.99</v>
      </c>
    </row>
    <row r="55" spans="2:7" hidden="1" x14ac:dyDescent="0.25">
      <c r="B55" t="str">
        <f>_xlfn.XLOOKUP(Export[[#This Row],[store]],Table2[store '#],Table2[Franchise])</f>
        <v>Portland</v>
      </c>
      <c r="C55">
        <v>2174</v>
      </c>
      <c r="D55" t="s">
        <v>17</v>
      </c>
      <c r="E55" t="s">
        <v>18</v>
      </c>
      <c r="F55" s="4">
        <v>9.99</v>
      </c>
      <c r="G55" s="4">
        <v>9.99</v>
      </c>
    </row>
    <row r="56" spans="2:7" hidden="1" x14ac:dyDescent="0.25">
      <c r="B56" t="str">
        <f>_xlfn.XLOOKUP(Export[[#This Row],[store]],Table2[store '#],Table2[Franchise])</f>
        <v>Portland</v>
      </c>
      <c r="C56">
        <v>2174</v>
      </c>
      <c r="D56" t="s">
        <v>19</v>
      </c>
      <c r="E56" t="s">
        <v>20</v>
      </c>
      <c r="F56" s="4">
        <v>12.99</v>
      </c>
      <c r="G56" s="4">
        <v>12.99</v>
      </c>
    </row>
    <row r="57" spans="2:7" hidden="1" x14ac:dyDescent="0.25">
      <c r="B57" t="str">
        <f>_xlfn.XLOOKUP(Export[[#This Row],[store]],Table2[store '#],Table2[Franchise])</f>
        <v>Portland</v>
      </c>
      <c r="C57">
        <v>2174</v>
      </c>
      <c r="D57" t="s">
        <v>35</v>
      </c>
      <c r="E57" t="s">
        <v>36</v>
      </c>
      <c r="F57" s="4">
        <v>14.99</v>
      </c>
      <c r="G57" s="4">
        <v>14.99</v>
      </c>
    </row>
    <row r="58" spans="2:7" hidden="1" x14ac:dyDescent="0.25">
      <c r="B58" t="str">
        <f>_xlfn.XLOOKUP(Export[[#This Row],[store]],Table2[store '#],Table2[Franchise])</f>
        <v>Portland</v>
      </c>
      <c r="C58">
        <v>2174</v>
      </c>
      <c r="D58" t="s">
        <v>27</v>
      </c>
      <c r="E58" t="s">
        <v>37</v>
      </c>
      <c r="F58" s="4">
        <v>18.989999999999998</v>
      </c>
      <c r="G58" s="4">
        <v>18.989999999999998</v>
      </c>
    </row>
    <row r="59" spans="2:7" hidden="1" x14ac:dyDescent="0.25">
      <c r="B59" t="str">
        <f>_xlfn.XLOOKUP(Export[[#This Row],[store]],Table2[store '#],Table2[Franchise])</f>
        <v>Portland</v>
      </c>
      <c r="C59">
        <v>2174</v>
      </c>
      <c r="D59" t="s">
        <v>23</v>
      </c>
      <c r="E59" t="s">
        <v>24</v>
      </c>
      <c r="F59" s="5">
        <v>10</v>
      </c>
      <c r="G59" s="5">
        <v>10</v>
      </c>
    </row>
    <row r="60" spans="2:7" hidden="1" x14ac:dyDescent="0.25">
      <c r="B60" t="str">
        <f>_xlfn.XLOOKUP(Export[[#This Row],[store]],Table2[store '#],Table2[Franchise])</f>
        <v>Portland</v>
      </c>
      <c r="C60">
        <v>2174</v>
      </c>
      <c r="D60" t="s">
        <v>38</v>
      </c>
      <c r="E60" t="s">
        <v>39</v>
      </c>
      <c r="F60" s="4">
        <v>13.99</v>
      </c>
      <c r="G60" s="4">
        <v>13.99</v>
      </c>
    </row>
    <row r="61" spans="2:7" hidden="1" x14ac:dyDescent="0.25">
      <c r="B61" t="str">
        <f>_xlfn.XLOOKUP(Export[[#This Row],[store]],Table2[store '#],Table2[Franchise])</f>
        <v>Portland</v>
      </c>
      <c r="C61">
        <v>2174</v>
      </c>
      <c r="D61" t="s">
        <v>40</v>
      </c>
      <c r="E61" t="s">
        <v>41</v>
      </c>
      <c r="F61" s="4">
        <v>17.989999999999998</v>
      </c>
      <c r="G61" s="4">
        <v>17.989999999999998</v>
      </c>
    </row>
    <row r="62" spans="2:7" hidden="1" x14ac:dyDescent="0.25">
      <c r="B62" t="str">
        <f>_xlfn.XLOOKUP(Export[[#This Row],[store]],Table2[store '#],Table2[Franchise])</f>
        <v>Portland</v>
      </c>
      <c r="C62">
        <v>2174</v>
      </c>
      <c r="D62" t="s">
        <v>42</v>
      </c>
      <c r="E62" t="s">
        <v>43</v>
      </c>
      <c r="F62" s="4">
        <v>25.98</v>
      </c>
      <c r="G62" s="4">
        <v>25.98</v>
      </c>
    </row>
    <row r="63" spans="2:7" hidden="1" x14ac:dyDescent="0.25">
      <c r="B63" t="str">
        <f>_xlfn.XLOOKUP(Export[[#This Row],[store]],Table2[store '#],Table2[Franchise])</f>
        <v>Portland</v>
      </c>
      <c r="C63">
        <v>2174</v>
      </c>
      <c r="D63" t="s">
        <v>21</v>
      </c>
      <c r="E63" t="s">
        <v>22</v>
      </c>
      <c r="F63" s="4">
        <v>15.99</v>
      </c>
      <c r="G63" s="4">
        <v>15.99</v>
      </c>
    </row>
    <row r="64" spans="2:7" hidden="1" x14ac:dyDescent="0.25">
      <c r="B64" t="str">
        <f>_xlfn.XLOOKUP(Export[[#This Row],[store]],Table2[store '#],Table2[Franchise])</f>
        <v>Portland</v>
      </c>
      <c r="C64">
        <v>2174</v>
      </c>
      <c r="D64" t="s">
        <v>33</v>
      </c>
      <c r="E64" t="s">
        <v>34</v>
      </c>
      <c r="F64" s="4">
        <v>29.99</v>
      </c>
      <c r="G64" s="4">
        <v>29.99</v>
      </c>
    </row>
    <row r="65" spans="2:7" hidden="1" x14ac:dyDescent="0.25">
      <c r="B65" t="str">
        <f>_xlfn.XLOOKUP(Export[[#This Row],[store]],Table2[store '#],Table2[Franchise])</f>
        <v>Portland</v>
      </c>
      <c r="C65">
        <v>2174</v>
      </c>
      <c r="D65" t="s">
        <v>31</v>
      </c>
      <c r="E65" t="s">
        <v>32</v>
      </c>
      <c r="F65" s="4">
        <v>15.99</v>
      </c>
      <c r="G65" s="4">
        <v>15.99</v>
      </c>
    </row>
    <row r="66" spans="2:7" hidden="1" x14ac:dyDescent="0.25">
      <c r="B66" t="str">
        <f>_xlfn.XLOOKUP(Export[[#This Row],[store]],Table2[store '#],Table2[Franchise])</f>
        <v>Portland</v>
      </c>
      <c r="C66">
        <v>2174</v>
      </c>
      <c r="D66" t="s">
        <v>44</v>
      </c>
      <c r="E66" t="s">
        <v>45</v>
      </c>
      <c r="F66" s="4">
        <v>20.99</v>
      </c>
      <c r="G66" s="4">
        <v>20.99</v>
      </c>
    </row>
    <row r="67" spans="2:7" hidden="1" x14ac:dyDescent="0.25">
      <c r="B67" t="str">
        <f>_xlfn.XLOOKUP(Export[[#This Row],[store]],Table2[store '#],Table2[Franchise])</f>
        <v>Portland</v>
      </c>
      <c r="C67">
        <v>2174</v>
      </c>
      <c r="D67" t="s">
        <v>78</v>
      </c>
      <c r="E67" t="s">
        <v>79</v>
      </c>
      <c r="F67" s="4">
        <v>6.99</v>
      </c>
      <c r="G67" s="4">
        <v>6.99</v>
      </c>
    </row>
    <row r="68" spans="2:7" hidden="1" x14ac:dyDescent="0.25">
      <c r="B68" t="str">
        <f>_xlfn.XLOOKUP(Export[[#This Row],[store]],Table2[store '#],Table2[Franchise])</f>
        <v>Portland</v>
      </c>
      <c r="C68">
        <v>2174</v>
      </c>
      <c r="D68" t="s">
        <v>80</v>
      </c>
      <c r="E68" t="s">
        <v>81</v>
      </c>
      <c r="F68" s="4">
        <v>4.99</v>
      </c>
      <c r="G68" s="4">
        <v>4.99</v>
      </c>
    </row>
    <row r="69" spans="2:7" ht="30" hidden="1" x14ac:dyDescent="0.25">
      <c r="B69" t="str">
        <f>_xlfn.XLOOKUP(Export[[#This Row],[store]],Table2[store '#],Table2[Franchise])</f>
        <v>Portland</v>
      </c>
      <c r="C69">
        <v>2174</v>
      </c>
      <c r="D69" t="s">
        <v>62</v>
      </c>
      <c r="E69" s="6" t="s">
        <v>63</v>
      </c>
    </row>
    <row r="70" spans="2:7" x14ac:dyDescent="0.25">
      <c r="B70" t="str">
        <f>_xlfn.XLOOKUP(Export[[#This Row],[store]],Table2[store '#],Table2[Franchise])</f>
        <v>Portland</v>
      </c>
      <c r="C70">
        <v>2236</v>
      </c>
      <c r="D70" t="s">
        <v>76</v>
      </c>
      <c r="E70" t="s">
        <v>77</v>
      </c>
      <c r="F70" s="4">
        <v>13.99</v>
      </c>
      <c r="G70" s="4">
        <v>13.99</v>
      </c>
    </row>
    <row r="71" spans="2:7" x14ac:dyDescent="0.25">
      <c r="B71" t="str">
        <f>_xlfn.XLOOKUP(Export[[#This Row],[store]],Table2[store '#],Table2[Franchise])</f>
        <v>Portland</v>
      </c>
      <c r="C71">
        <v>2236</v>
      </c>
      <c r="D71" t="s">
        <v>6</v>
      </c>
      <c r="E71" t="s">
        <v>61</v>
      </c>
      <c r="F71" s="4">
        <v>6.99</v>
      </c>
      <c r="G71" s="4">
        <v>6.99</v>
      </c>
    </row>
    <row r="72" spans="2:7" x14ac:dyDescent="0.25">
      <c r="B72" t="str">
        <f>_xlfn.XLOOKUP(Export[[#This Row],[store]],Table2[store '#],Table2[Franchise])</f>
        <v>Portland</v>
      </c>
      <c r="C72">
        <v>2236</v>
      </c>
      <c r="D72" t="s">
        <v>17</v>
      </c>
      <c r="E72" t="s">
        <v>18</v>
      </c>
      <c r="F72" s="4">
        <v>9.99</v>
      </c>
      <c r="G72" s="4">
        <v>9.99</v>
      </c>
    </row>
    <row r="73" spans="2:7" x14ac:dyDescent="0.25">
      <c r="B73" t="str">
        <f>_xlfn.XLOOKUP(Export[[#This Row],[store]],Table2[store '#],Table2[Franchise])</f>
        <v>Portland</v>
      </c>
      <c r="C73">
        <v>2236</v>
      </c>
      <c r="D73" t="s">
        <v>19</v>
      </c>
      <c r="E73" t="s">
        <v>20</v>
      </c>
      <c r="F73" s="4">
        <v>12.99</v>
      </c>
      <c r="G73" s="4">
        <v>12.99</v>
      </c>
    </row>
    <row r="74" spans="2:7" x14ac:dyDescent="0.25">
      <c r="B74" t="str">
        <f>_xlfn.XLOOKUP(Export[[#This Row],[store]],Table2[store '#],Table2[Franchise])</f>
        <v>Portland</v>
      </c>
      <c r="C74">
        <v>2236</v>
      </c>
      <c r="D74" t="s">
        <v>46</v>
      </c>
      <c r="E74" t="s">
        <v>36</v>
      </c>
      <c r="F74" s="4">
        <v>14.99</v>
      </c>
      <c r="G74" s="4">
        <v>14.99</v>
      </c>
    </row>
    <row r="75" spans="2:7" x14ac:dyDescent="0.25">
      <c r="B75" t="str">
        <f>_xlfn.XLOOKUP(Export[[#This Row],[store]],Table2[store '#],Table2[Franchise])</f>
        <v>Portland</v>
      </c>
      <c r="C75">
        <v>2236</v>
      </c>
      <c r="D75" t="s">
        <v>27</v>
      </c>
      <c r="E75" t="s">
        <v>47</v>
      </c>
      <c r="F75" s="4">
        <v>18.989999999999998</v>
      </c>
      <c r="G75" s="4">
        <v>18.989999999999998</v>
      </c>
    </row>
    <row r="76" spans="2:7" x14ac:dyDescent="0.25">
      <c r="B76" t="str">
        <f>_xlfn.XLOOKUP(Export[[#This Row],[store]],Table2[store '#],Table2[Franchise])</f>
        <v>Portland</v>
      </c>
      <c r="C76">
        <v>2236</v>
      </c>
      <c r="D76" t="s">
        <v>23</v>
      </c>
      <c r="E76" t="s">
        <v>24</v>
      </c>
      <c r="F76" s="5">
        <v>10</v>
      </c>
      <c r="G76" s="5">
        <v>10</v>
      </c>
    </row>
    <row r="77" spans="2:7" x14ac:dyDescent="0.25">
      <c r="B77" t="str">
        <f>_xlfn.XLOOKUP(Export[[#This Row],[store]],Table2[store '#],Table2[Franchise])</f>
        <v>Portland</v>
      </c>
      <c r="C77">
        <v>2236</v>
      </c>
      <c r="D77" t="s">
        <v>38</v>
      </c>
      <c r="E77" t="s">
        <v>39</v>
      </c>
      <c r="F77" s="4">
        <v>13.99</v>
      </c>
      <c r="G77" s="4">
        <v>13.99</v>
      </c>
    </row>
    <row r="78" spans="2:7" x14ac:dyDescent="0.25">
      <c r="B78" t="str">
        <f>_xlfn.XLOOKUP(Export[[#This Row],[store]],Table2[store '#],Table2[Franchise])</f>
        <v>Portland</v>
      </c>
      <c r="C78">
        <v>2236</v>
      </c>
      <c r="D78" t="s">
        <v>40</v>
      </c>
      <c r="E78" t="s">
        <v>41</v>
      </c>
      <c r="F78" s="4">
        <v>17.989999999999998</v>
      </c>
      <c r="G78" s="4">
        <v>17.989999999999998</v>
      </c>
    </row>
    <row r="79" spans="2:7" x14ac:dyDescent="0.25">
      <c r="B79" t="str">
        <f>_xlfn.XLOOKUP(Export[[#This Row],[store]],Table2[store '#],Table2[Franchise])</f>
        <v>Portland</v>
      </c>
      <c r="C79">
        <v>2236</v>
      </c>
      <c r="D79" t="s">
        <v>21</v>
      </c>
      <c r="E79" t="s">
        <v>22</v>
      </c>
      <c r="F79" s="4">
        <v>15.99</v>
      </c>
      <c r="G79" s="4">
        <v>15.99</v>
      </c>
    </row>
    <row r="80" spans="2:7" x14ac:dyDescent="0.25">
      <c r="B80" t="str">
        <f>_xlfn.XLOOKUP(Export[[#This Row],[store]],Table2[store '#],Table2[Franchise])</f>
        <v>Portland</v>
      </c>
      <c r="C80">
        <v>2236</v>
      </c>
      <c r="D80" t="s">
        <v>33</v>
      </c>
      <c r="E80" t="s">
        <v>34</v>
      </c>
      <c r="F80" s="4">
        <v>29.99</v>
      </c>
      <c r="G80" s="4">
        <v>29.99</v>
      </c>
    </row>
    <row r="81" spans="2:7" x14ac:dyDescent="0.25">
      <c r="B81" t="str">
        <f>_xlfn.XLOOKUP(Export[[#This Row],[store]],Table2[store '#],Table2[Franchise])</f>
        <v>Portland</v>
      </c>
      <c r="C81">
        <v>2236</v>
      </c>
      <c r="D81" t="s">
        <v>31</v>
      </c>
      <c r="E81" t="s">
        <v>32</v>
      </c>
      <c r="F81" s="4">
        <v>15.99</v>
      </c>
      <c r="G81" s="4">
        <v>15.99</v>
      </c>
    </row>
    <row r="82" spans="2:7" x14ac:dyDescent="0.25">
      <c r="B82" t="str">
        <f>_xlfn.XLOOKUP(Export[[#This Row],[store]],Table2[store '#],Table2[Franchise])</f>
        <v>Portland</v>
      </c>
      <c r="C82">
        <v>2236</v>
      </c>
      <c r="D82" t="s">
        <v>48</v>
      </c>
      <c r="E82" t="s">
        <v>49</v>
      </c>
      <c r="F82" s="4">
        <v>20.99</v>
      </c>
      <c r="G82" s="4">
        <v>20.99</v>
      </c>
    </row>
    <row r="83" spans="2:7" x14ac:dyDescent="0.25">
      <c r="B83" t="str">
        <f>_xlfn.XLOOKUP(Export[[#This Row],[store]],Table2[store '#],Table2[Franchise])</f>
        <v>Portland</v>
      </c>
      <c r="C83">
        <v>2236</v>
      </c>
      <c r="D83" t="s">
        <v>50</v>
      </c>
      <c r="E83" t="s">
        <v>51</v>
      </c>
      <c r="F83" s="4">
        <v>25.98</v>
      </c>
      <c r="G83" s="4">
        <v>25.98</v>
      </c>
    </row>
    <row r="84" spans="2:7" x14ac:dyDescent="0.25">
      <c r="B84" t="str">
        <f>_xlfn.XLOOKUP(Export[[#This Row],[store]],Table2[store '#],Table2[Franchise])</f>
        <v>Portland</v>
      </c>
      <c r="C84">
        <v>2236</v>
      </c>
      <c r="D84" t="s">
        <v>78</v>
      </c>
      <c r="E84" t="s">
        <v>79</v>
      </c>
      <c r="F84" s="4">
        <v>6.99</v>
      </c>
      <c r="G84" s="4">
        <v>6.99</v>
      </c>
    </row>
    <row r="85" spans="2:7" x14ac:dyDescent="0.25">
      <c r="B85" t="str">
        <f>_xlfn.XLOOKUP(Export[[#This Row],[store]],Table2[store '#],Table2[Franchise])</f>
        <v>Portland</v>
      </c>
      <c r="C85">
        <v>2236</v>
      </c>
      <c r="D85" t="s">
        <v>80</v>
      </c>
      <c r="E85" t="s">
        <v>81</v>
      </c>
      <c r="F85" s="4">
        <v>4.99</v>
      </c>
      <c r="G85" s="4">
        <v>4.99</v>
      </c>
    </row>
    <row r="86" spans="2:7" ht="30" x14ac:dyDescent="0.25">
      <c r="B86" t="str">
        <f>_xlfn.XLOOKUP(Export[[#This Row],[store]],Table2[store '#],Table2[Franchise])</f>
        <v>Portland</v>
      </c>
      <c r="C86">
        <v>2236</v>
      </c>
      <c r="D86" t="s">
        <v>62</v>
      </c>
      <c r="E86" s="6" t="s">
        <v>63</v>
      </c>
    </row>
    <row r="87" spans="2:7" hidden="1" x14ac:dyDescent="0.25">
      <c r="B87" t="str">
        <f>_xlfn.XLOOKUP(Export[[#This Row],[store]],Table2[store '#],Table2[Franchise])</f>
        <v>Portland</v>
      </c>
      <c r="C87">
        <v>2272</v>
      </c>
      <c r="D87" t="s">
        <v>76</v>
      </c>
      <c r="E87" t="s">
        <v>77</v>
      </c>
      <c r="F87" s="4">
        <v>13.99</v>
      </c>
      <c r="G87" s="4">
        <v>13.99</v>
      </c>
    </row>
    <row r="88" spans="2:7" hidden="1" x14ac:dyDescent="0.25">
      <c r="B88" t="str">
        <f>_xlfn.XLOOKUP(Export[[#This Row],[store]],Table2[store '#],Table2[Franchise])</f>
        <v>Portland</v>
      </c>
      <c r="C88">
        <v>2272</v>
      </c>
      <c r="D88" t="s">
        <v>6</v>
      </c>
      <c r="E88" t="s">
        <v>61</v>
      </c>
      <c r="F88" s="4">
        <v>6.99</v>
      </c>
      <c r="G88" s="4">
        <v>6.99</v>
      </c>
    </row>
    <row r="89" spans="2:7" hidden="1" x14ac:dyDescent="0.25">
      <c r="B89" t="str">
        <f>_xlfn.XLOOKUP(Export[[#This Row],[store]],Table2[store '#],Table2[Franchise])</f>
        <v>Portland</v>
      </c>
      <c r="C89">
        <v>2272</v>
      </c>
      <c r="D89" t="s">
        <v>17</v>
      </c>
      <c r="E89" t="s">
        <v>18</v>
      </c>
      <c r="F89" s="4">
        <v>9.99</v>
      </c>
      <c r="G89" s="4">
        <v>9.99</v>
      </c>
    </row>
    <row r="90" spans="2:7" hidden="1" x14ac:dyDescent="0.25">
      <c r="B90" t="str">
        <f>_xlfn.XLOOKUP(Export[[#This Row],[store]],Table2[store '#],Table2[Franchise])</f>
        <v>Portland</v>
      </c>
      <c r="C90">
        <v>2272</v>
      </c>
      <c r="D90" t="s">
        <v>19</v>
      </c>
      <c r="E90" t="s">
        <v>20</v>
      </c>
      <c r="F90" s="4">
        <v>12.99</v>
      </c>
      <c r="G90" s="4">
        <v>12.99</v>
      </c>
    </row>
    <row r="91" spans="2:7" hidden="1" x14ac:dyDescent="0.25">
      <c r="B91" t="str">
        <f>_xlfn.XLOOKUP(Export[[#This Row],[store]],Table2[store '#],Table2[Franchise])</f>
        <v>Portland</v>
      </c>
      <c r="C91">
        <v>2272</v>
      </c>
      <c r="D91" t="s">
        <v>35</v>
      </c>
      <c r="E91" t="s">
        <v>36</v>
      </c>
      <c r="F91" s="4">
        <v>14.99</v>
      </c>
      <c r="G91" s="4">
        <v>14.99</v>
      </c>
    </row>
    <row r="92" spans="2:7" hidden="1" x14ac:dyDescent="0.25">
      <c r="B92" t="str">
        <f>_xlfn.XLOOKUP(Export[[#This Row],[store]],Table2[store '#],Table2[Franchise])</f>
        <v>Portland</v>
      </c>
      <c r="C92">
        <v>2272</v>
      </c>
      <c r="D92" t="s">
        <v>27</v>
      </c>
      <c r="E92" t="s">
        <v>37</v>
      </c>
      <c r="F92" s="4">
        <v>18.989999999999998</v>
      </c>
      <c r="G92" s="4">
        <v>18.989999999999998</v>
      </c>
    </row>
    <row r="93" spans="2:7" hidden="1" x14ac:dyDescent="0.25">
      <c r="B93" t="str">
        <f>_xlfn.XLOOKUP(Export[[#This Row],[store]],Table2[store '#],Table2[Franchise])</f>
        <v>Portland</v>
      </c>
      <c r="C93">
        <v>2272</v>
      </c>
      <c r="D93" t="s">
        <v>23</v>
      </c>
      <c r="E93" t="s">
        <v>24</v>
      </c>
      <c r="F93" s="5">
        <v>10</v>
      </c>
      <c r="G93" s="5">
        <v>10</v>
      </c>
    </row>
    <row r="94" spans="2:7" hidden="1" x14ac:dyDescent="0.25">
      <c r="B94" t="str">
        <f>_xlfn.XLOOKUP(Export[[#This Row],[store]],Table2[store '#],Table2[Franchise])</f>
        <v>Portland</v>
      </c>
      <c r="C94">
        <v>2272</v>
      </c>
      <c r="D94" t="s">
        <v>38</v>
      </c>
      <c r="E94" t="s">
        <v>39</v>
      </c>
      <c r="F94" s="4">
        <v>13.99</v>
      </c>
      <c r="G94" s="4">
        <v>13.99</v>
      </c>
    </row>
    <row r="95" spans="2:7" hidden="1" x14ac:dyDescent="0.25">
      <c r="B95" t="str">
        <f>_xlfn.XLOOKUP(Export[[#This Row],[store]],Table2[store '#],Table2[Franchise])</f>
        <v>Portland</v>
      </c>
      <c r="C95">
        <v>2272</v>
      </c>
      <c r="D95" t="s">
        <v>40</v>
      </c>
      <c r="E95" t="s">
        <v>41</v>
      </c>
      <c r="F95" s="4">
        <v>17.989999999999998</v>
      </c>
      <c r="G95" s="4">
        <v>17.989999999999998</v>
      </c>
    </row>
    <row r="96" spans="2:7" hidden="1" x14ac:dyDescent="0.25">
      <c r="B96" t="str">
        <f>_xlfn.XLOOKUP(Export[[#This Row],[store]],Table2[store '#],Table2[Franchise])</f>
        <v>Portland</v>
      </c>
      <c r="C96">
        <v>2272</v>
      </c>
      <c r="D96" t="s">
        <v>42</v>
      </c>
      <c r="E96" t="s">
        <v>43</v>
      </c>
      <c r="F96" s="4">
        <v>25.98</v>
      </c>
      <c r="G96" s="4">
        <v>25.98</v>
      </c>
    </row>
    <row r="97" spans="2:7" hidden="1" x14ac:dyDescent="0.25">
      <c r="B97" t="str">
        <f>_xlfn.XLOOKUP(Export[[#This Row],[store]],Table2[store '#],Table2[Franchise])</f>
        <v>Portland</v>
      </c>
      <c r="C97">
        <v>2272</v>
      </c>
      <c r="D97" t="s">
        <v>21</v>
      </c>
      <c r="E97" t="s">
        <v>22</v>
      </c>
      <c r="F97" s="4">
        <v>15.99</v>
      </c>
      <c r="G97" s="4">
        <v>15.99</v>
      </c>
    </row>
    <row r="98" spans="2:7" hidden="1" x14ac:dyDescent="0.25">
      <c r="B98" t="str">
        <f>_xlfn.XLOOKUP(Export[[#This Row],[store]],Table2[store '#],Table2[Franchise])</f>
        <v>Portland</v>
      </c>
      <c r="C98">
        <v>2272</v>
      </c>
      <c r="D98" t="s">
        <v>33</v>
      </c>
      <c r="E98" t="s">
        <v>34</v>
      </c>
      <c r="F98" s="4">
        <v>29.99</v>
      </c>
      <c r="G98" s="4">
        <v>29.99</v>
      </c>
    </row>
    <row r="99" spans="2:7" hidden="1" x14ac:dyDescent="0.25">
      <c r="B99" t="str">
        <f>_xlfn.XLOOKUP(Export[[#This Row],[store]],Table2[store '#],Table2[Franchise])</f>
        <v>Portland</v>
      </c>
      <c r="C99">
        <v>2272</v>
      </c>
      <c r="D99" t="s">
        <v>31</v>
      </c>
      <c r="E99" t="s">
        <v>32</v>
      </c>
      <c r="F99" s="4">
        <v>15.99</v>
      </c>
      <c r="G99" s="4">
        <v>15.99</v>
      </c>
    </row>
    <row r="100" spans="2:7" hidden="1" x14ac:dyDescent="0.25">
      <c r="B100" t="str">
        <f>_xlfn.XLOOKUP(Export[[#This Row],[store]],Table2[store '#],Table2[Franchise])</f>
        <v>Portland</v>
      </c>
      <c r="C100">
        <v>2272</v>
      </c>
      <c r="D100" t="s">
        <v>44</v>
      </c>
      <c r="E100" t="s">
        <v>45</v>
      </c>
      <c r="F100" s="4">
        <v>20.99</v>
      </c>
      <c r="G100" s="4">
        <v>20.99</v>
      </c>
    </row>
    <row r="101" spans="2:7" hidden="1" x14ac:dyDescent="0.25">
      <c r="B101" t="str">
        <f>_xlfn.XLOOKUP(Export[[#This Row],[store]],Table2[store '#],Table2[Franchise])</f>
        <v>Portland</v>
      </c>
      <c r="C101">
        <v>2272</v>
      </c>
      <c r="D101" t="s">
        <v>78</v>
      </c>
      <c r="E101" t="s">
        <v>79</v>
      </c>
      <c r="F101" s="4">
        <v>6.99</v>
      </c>
      <c r="G101" s="4">
        <v>6.99</v>
      </c>
    </row>
    <row r="102" spans="2:7" hidden="1" x14ac:dyDescent="0.25">
      <c r="B102" t="str">
        <f>_xlfn.XLOOKUP(Export[[#This Row],[store]],Table2[store '#],Table2[Franchise])</f>
        <v>Portland</v>
      </c>
      <c r="C102">
        <v>2272</v>
      </c>
      <c r="D102" t="s">
        <v>80</v>
      </c>
      <c r="E102" t="s">
        <v>81</v>
      </c>
      <c r="F102" s="4">
        <v>4.99</v>
      </c>
      <c r="G102" s="4">
        <v>4.99</v>
      </c>
    </row>
    <row r="103" spans="2:7" ht="30" hidden="1" x14ac:dyDescent="0.25">
      <c r="B103" t="str">
        <f>_xlfn.XLOOKUP(Export[[#This Row],[store]],Table2[store '#],Table2[Franchise])</f>
        <v>Portland</v>
      </c>
      <c r="C103">
        <v>2272</v>
      </c>
      <c r="D103" t="s">
        <v>62</v>
      </c>
      <c r="E103" s="6" t="s">
        <v>63</v>
      </c>
    </row>
    <row r="104" spans="2:7" hidden="1" x14ac:dyDescent="0.25">
      <c r="B104" t="str">
        <f>_xlfn.XLOOKUP(Export[[#This Row],[store]],Table2[store '#],Table2[Franchise])</f>
        <v>Portland</v>
      </c>
      <c r="C104">
        <v>2457</v>
      </c>
      <c r="D104" t="s">
        <v>76</v>
      </c>
      <c r="E104" t="s">
        <v>77</v>
      </c>
      <c r="F104" s="4">
        <v>13.99</v>
      </c>
      <c r="G104" s="4">
        <v>13.99</v>
      </c>
    </row>
    <row r="105" spans="2:7" hidden="1" x14ac:dyDescent="0.25">
      <c r="B105" t="str">
        <f>_xlfn.XLOOKUP(Export[[#This Row],[store]],Table2[store '#],Table2[Franchise])</f>
        <v>Portland</v>
      </c>
      <c r="C105">
        <v>2457</v>
      </c>
      <c r="D105" t="s">
        <v>6</v>
      </c>
      <c r="E105" t="s">
        <v>61</v>
      </c>
      <c r="F105" s="4">
        <v>6.99</v>
      </c>
      <c r="G105" s="4">
        <v>6.99</v>
      </c>
    </row>
    <row r="106" spans="2:7" hidden="1" x14ac:dyDescent="0.25">
      <c r="B106" t="str">
        <f>_xlfn.XLOOKUP(Export[[#This Row],[store]],Table2[store '#],Table2[Franchise])</f>
        <v>Portland</v>
      </c>
      <c r="C106">
        <v>2457</v>
      </c>
      <c r="D106" t="s">
        <v>17</v>
      </c>
      <c r="E106" t="s">
        <v>18</v>
      </c>
      <c r="F106" s="4">
        <v>9.99</v>
      </c>
      <c r="G106" s="4">
        <v>9.99</v>
      </c>
    </row>
    <row r="107" spans="2:7" hidden="1" x14ac:dyDescent="0.25">
      <c r="B107" t="str">
        <f>_xlfn.XLOOKUP(Export[[#This Row],[store]],Table2[store '#],Table2[Franchise])</f>
        <v>Portland</v>
      </c>
      <c r="C107">
        <v>2457</v>
      </c>
      <c r="D107" t="s">
        <v>19</v>
      </c>
      <c r="E107" t="s">
        <v>20</v>
      </c>
      <c r="F107" s="4">
        <v>12.99</v>
      </c>
      <c r="G107" s="4">
        <v>12.99</v>
      </c>
    </row>
    <row r="108" spans="2:7" hidden="1" x14ac:dyDescent="0.25">
      <c r="B108" t="str">
        <f>_xlfn.XLOOKUP(Export[[#This Row],[store]],Table2[store '#],Table2[Franchise])</f>
        <v>Portland</v>
      </c>
      <c r="C108">
        <v>2457</v>
      </c>
      <c r="D108" t="s">
        <v>35</v>
      </c>
      <c r="E108" t="s">
        <v>36</v>
      </c>
      <c r="F108" s="4">
        <v>14.99</v>
      </c>
      <c r="G108" s="4">
        <v>14.99</v>
      </c>
    </row>
    <row r="109" spans="2:7" hidden="1" x14ac:dyDescent="0.25">
      <c r="B109" t="str">
        <f>_xlfn.XLOOKUP(Export[[#This Row],[store]],Table2[store '#],Table2[Franchise])</f>
        <v>Portland</v>
      </c>
      <c r="C109">
        <v>2457</v>
      </c>
      <c r="D109" t="s">
        <v>27</v>
      </c>
      <c r="E109" t="s">
        <v>37</v>
      </c>
      <c r="F109" s="4">
        <v>18.989999999999998</v>
      </c>
      <c r="G109" s="4">
        <v>18.989999999999998</v>
      </c>
    </row>
    <row r="110" spans="2:7" hidden="1" x14ac:dyDescent="0.25">
      <c r="B110" t="str">
        <f>_xlfn.XLOOKUP(Export[[#This Row],[store]],Table2[store '#],Table2[Franchise])</f>
        <v>Portland</v>
      </c>
      <c r="C110">
        <v>2457</v>
      </c>
      <c r="D110" t="s">
        <v>23</v>
      </c>
      <c r="E110" t="s">
        <v>24</v>
      </c>
      <c r="F110" s="5">
        <v>10</v>
      </c>
      <c r="G110" s="5">
        <v>10</v>
      </c>
    </row>
    <row r="111" spans="2:7" hidden="1" x14ac:dyDescent="0.25">
      <c r="B111" t="str">
        <f>_xlfn.XLOOKUP(Export[[#This Row],[store]],Table2[store '#],Table2[Franchise])</f>
        <v>Portland</v>
      </c>
      <c r="C111">
        <v>2457</v>
      </c>
      <c r="D111" t="s">
        <v>38</v>
      </c>
      <c r="E111" t="s">
        <v>39</v>
      </c>
      <c r="F111" s="4">
        <v>13.99</v>
      </c>
      <c r="G111" s="4">
        <v>13.99</v>
      </c>
    </row>
    <row r="112" spans="2:7" hidden="1" x14ac:dyDescent="0.25">
      <c r="B112" t="str">
        <f>_xlfn.XLOOKUP(Export[[#This Row],[store]],Table2[store '#],Table2[Franchise])</f>
        <v>Portland</v>
      </c>
      <c r="C112">
        <v>2457</v>
      </c>
      <c r="D112" t="s">
        <v>40</v>
      </c>
      <c r="E112" t="s">
        <v>41</v>
      </c>
      <c r="F112" s="4">
        <v>17.989999999999998</v>
      </c>
      <c r="G112" s="4">
        <v>17.989999999999998</v>
      </c>
    </row>
    <row r="113" spans="2:7" hidden="1" x14ac:dyDescent="0.25">
      <c r="B113" t="str">
        <f>_xlfn.XLOOKUP(Export[[#This Row],[store]],Table2[store '#],Table2[Franchise])</f>
        <v>Portland</v>
      </c>
      <c r="C113">
        <v>2457</v>
      </c>
      <c r="D113" t="s">
        <v>42</v>
      </c>
      <c r="E113" t="s">
        <v>43</v>
      </c>
      <c r="F113" s="4">
        <v>25.98</v>
      </c>
      <c r="G113" s="4">
        <v>25.98</v>
      </c>
    </row>
    <row r="114" spans="2:7" hidden="1" x14ac:dyDescent="0.25">
      <c r="B114" t="str">
        <f>_xlfn.XLOOKUP(Export[[#This Row],[store]],Table2[store '#],Table2[Franchise])</f>
        <v>Portland</v>
      </c>
      <c r="C114">
        <v>2457</v>
      </c>
      <c r="D114" t="s">
        <v>21</v>
      </c>
      <c r="E114" t="s">
        <v>22</v>
      </c>
      <c r="F114" s="4">
        <v>15.99</v>
      </c>
      <c r="G114" s="4">
        <v>15.99</v>
      </c>
    </row>
    <row r="115" spans="2:7" hidden="1" x14ac:dyDescent="0.25">
      <c r="B115" t="str">
        <f>_xlfn.XLOOKUP(Export[[#This Row],[store]],Table2[store '#],Table2[Franchise])</f>
        <v>Portland</v>
      </c>
      <c r="C115">
        <v>2457</v>
      </c>
      <c r="D115" t="s">
        <v>33</v>
      </c>
      <c r="E115" t="s">
        <v>34</v>
      </c>
      <c r="F115" s="4">
        <v>29.99</v>
      </c>
      <c r="G115" s="4">
        <v>29.99</v>
      </c>
    </row>
    <row r="116" spans="2:7" hidden="1" x14ac:dyDescent="0.25">
      <c r="B116" t="str">
        <f>_xlfn.XLOOKUP(Export[[#This Row],[store]],Table2[store '#],Table2[Franchise])</f>
        <v>Portland</v>
      </c>
      <c r="C116">
        <v>2457</v>
      </c>
      <c r="D116" t="s">
        <v>31</v>
      </c>
      <c r="E116" t="s">
        <v>32</v>
      </c>
      <c r="F116" s="4">
        <v>15.99</v>
      </c>
      <c r="G116" s="4">
        <v>15.99</v>
      </c>
    </row>
    <row r="117" spans="2:7" hidden="1" x14ac:dyDescent="0.25">
      <c r="B117" t="str">
        <f>_xlfn.XLOOKUP(Export[[#This Row],[store]],Table2[store '#],Table2[Franchise])</f>
        <v>Portland</v>
      </c>
      <c r="C117">
        <v>2457</v>
      </c>
      <c r="D117" t="s">
        <v>44</v>
      </c>
      <c r="E117" t="s">
        <v>45</v>
      </c>
      <c r="F117" s="4">
        <v>20.99</v>
      </c>
      <c r="G117" s="4">
        <v>20.99</v>
      </c>
    </row>
    <row r="118" spans="2:7" hidden="1" x14ac:dyDescent="0.25">
      <c r="B118" t="str">
        <f>_xlfn.XLOOKUP(Export[[#This Row],[store]],Table2[store '#],Table2[Franchise])</f>
        <v>Portland</v>
      </c>
      <c r="C118">
        <v>2457</v>
      </c>
      <c r="D118" t="s">
        <v>78</v>
      </c>
      <c r="E118" t="s">
        <v>79</v>
      </c>
      <c r="F118" s="4">
        <v>6.99</v>
      </c>
      <c r="G118" s="4">
        <v>6.99</v>
      </c>
    </row>
    <row r="119" spans="2:7" hidden="1" x14ac:dyDescent="0.25">
      <c r="B119" t="str">
        <f>_xlfn.XLOOKUP(Export[[#This Row],[store]],Table2[store '#],Table2[Franchise])</f>
        <v>Portland</v>
      </c>
      <c r="C119">
        <v>2457</v>
      </c>
      <c r="D119" t="s">
        <v>80</v>
      </c>
      <c r="E119" t="s">
        <v>81</v>
      </c>
      <c r="F119" s="4">
        <v>4.99</v>
      </c>
      <c r="G119" s="4">
        <v>4.99</v>
      </c>
    </row>
    <row r="120" spans="2:7" ht="30" hidden="1" x14ac:dyDescent="0.25">
      <c r="B120" t="str">
        <f>_xlfn.XLOOKUP(Export[[#This Row],[store]],Table2[store '#],Table2[Franchise])</f>
        <v>Portland</v>
      </c>
      <c r="C120">
        <v>2457</v>
      </c>
      <c r="D120" t="s">
        <v>62</v>
      </c>
      <c r="E120" s="6" t="s">
        <v>63</v>
      </c>
    </row>
    <row r="121" spans="2:7" hidden="1" x14ac:dyDescent="0.25">
      <c r="B121" t="str">
        <f>_xlfn.XLOOKUP(Export[[#This Row],[store]],Table2[store '#],Table2[Franchise])</f>
        <v>Portland</v>
      </c>
      <c r="C121">
        <v>2549</v>
      </c>
      <c r="D121" t="s">
        <v>76</v>
      </c>
      <c r="E121" t="s">
        <v>77</v>
      </c>
      <c r="F121" s="4">
        <v>13.99</v>
      </c>
      <c r="G121" s="4">
        <v>13.99</v>
      </c>
    </row>
    <row r="122" spans="2:7" hidden="1" x14ac:dyDescent="0.25">
      <c r="B122" t="str">
        <f>_xlfn.XLOOKUP(Export[[#This Row],[store]],Table2[store '#],Table2[Franchise])</f>
        <v>Portland</v>
      </c>
      <c r="C122">
        <v>2549</v>
      </c>
      <c r="D122" t="s">
        <v>6</v>
      </c>
      <c r="E122" t="s">
        <v>61</v>
      </c>
      <c r="F122" s="4">
        <v>6.99</v>
      </c>
      <c r="G122" s="4">
        <v>6.99</v>
      </c>
    </row>
    <row r="123" spans="2:7" hidden="1" x14ac:dyDescent="0.25">
      <c r="B123" t="str">
        <f>_xlfn.XLOOKUP(Export[[#This Row],[store]],Table2[store '#],Table2[Franchise])</f>
        <v>Portland</v>
      </c>
      <c r="C123">
        <v>2549</v>
      </c>
      <c r="D123" t="s">
        <v>17</v>
      </c>
      <c r="E123" t="s">
        <v>18</v>
      </c>
      <c r="F123" s="4">
        <v>9.99</v>
      </c>
      <c r="G123" s="4">
        <v>9.99</v>
      </c>
    </row>
    <row r="124" spans="2:7" hidden="1" x14ac:dyDescent="0.25">
      <c r="B124" t="str">
        <f>_xlfn.XLOOKUP(Export[[#This Row],[store]],Table2[store '#],Table2[Franchise])</f>
        <v>Portland</v>
      </c>
      <c r="C124">
        <v>2549</v>
      </c>
      <c r="D124" t="s">
        <v>19</v>
      </c>
      <c r="E124" t="s">
        <v>20</v>
      </c>
      <c r="F124" s="4">
        <v>12.99</v>
      </c>
      <c r="G124" s="4">
        <v>12.99</v>
      </c>
    </row>
    <row r="125" spans="2:7" hidden="1" x14ac:dyDescent="0.25">
      <c r="B125" t="str">
        <f>_xlfn.XLOOKUP(Export[[#This Row],[store]],Table2[store '#],Table2[Franchise])</f>
        <v>Portland</v>
      </c>
      <c r="C125">
        <v>2549</v>
      </c>
      <c r="D125" t="s">
        <v>35</v>
      </c>
      <c r="E125" t="s">
        <v>36</v>
      </c>
      <c r="F125" s="4">
        <v>14.99</v>
      </c>
      <c r="G125" s="4">
        <v>14.99</v>
      </c>
    </row>
    <row r="126" spans="2:7" hidden="1" x14ac:dyDescent="0.25">
      <c r="B126" t="str">
        <f>_xlfn.XLOOKUP(Export[[#This Row],[store]],Table2[store '#],Table2[Franchise])</f>
        <v>Portland</v>
      </c>
      <c r="C126">
        <v>2549</v>
      </c>
      <c r="D126" t="s">
        <v>27</v>
      </c>
      <c r="E126" t="s">
        <v>37</v>
      </c>
      <c r="F126" s="4">
        <v>18.989999999999998</v>
      </c>
      <c r="G126" s="4">
        <v>18.989999999999998</v>
      </c>
    </row>
    <row r="127" spans="2:7" hidden="1" x14ac:dyDescent="0.25">
      <c r="B127" t="str">
        <f>_xlfn.XLOOKUP(Export[[#This Row],[store]],Table2[store '#],Table2[Franchise])</f>
        <v>Portland</v>
      </c>
      <c r="C127">
        <v>2549</v>
      </c>
      <c r="D127" t="s">
        <v>23</v>
      </c>
      <c r="E127" t="s">
        <v>24</v>
      </c>
      <c r="F127" s="5">
        <v>10</v>
      </c>
      <c r="G127" s="5">
        <v>10</v>
      </c>
    </row>
    <row r="128" spans="2:7" hidden="1" x14ac:dyDescent="0.25">
      <c r="B128" t="str">
        <f>_xlfn.XLOOKUP(Export[[#This Row],[store]],Table2[store '#],Table2[Franchise])</f>
        <v>Portland</v>
      </c>
      <c r="C128">
        <v>2549</v>
      </c>
      <c r="D128" t="s">
        <v>38</v>
      </c>
      <c r="E128" t="s">
        <v>39</v>
      </c>
      <c r="F128" s="4">
        <v>13.99</v>
      </c>
      <c r="G128" s="4">
        <v>13.99</v>
      </c>
    </row>
    <row r="129" spans="2:7" hidden="1" x14ac:dyDescent="0.25">
      <c r="B129" t="str">
        <f>_xlfn.XLOOKUP(Export[[#This Row],[store]],Table2[store '#],Table2[Franchise])</f>
        <v>Portland</v>
      </c>
      <c r="C129">
        <v>2549</v>
      </c>
      <c r="D129" t="s">
        <v>40</v>
      </c>
      <c r="E129" t="s">
        <v>41</v>
      </c>
      <c r="F129" s="4">
        <v>17.989999999999998</v>
      </c>
      <c r="G129" s="4">
        <v>17.989999999999998</v>
      </c>
    </row>
    <row r="130" spans="2:7" hidden="1" x14ac:dyDescent="0.25">
      <c r="B130" t="str">
        <f>_xlfn.XLOOKUP(Export[[#This Row],[store]],Table2[store '#],Table2[Franchise])</f>
        <v>Portland</v>
      </c>
      <c r="C130">
        <v>2549</v>
      </c>
      <c r="D130" t="s">
        <v>42</v>
      </c>
      <c r="E130" t="s">
        <v>43</v>
      </c>
      <c r="F130" s="4">
        <v>25.98</v>
      </c>
      <c r="G130" s="4">
        <v>25.98</v>
      </c>
    </row>
    <row r="131" spans="2:7" hidden="1" x14ac:dyDescent="0.25">
      <c r="B131" t="str">
        <f>_xlfn.XLOOKUP(Export[[#This Row],[store]],Table2[store '#],Table2[Franchise])</f>
        <v>Portland</v>
      </c>
      <c r="C131">
        <v>2549</v>
      </c>
      <c r="D131" t="s">
        <v>21</v>
      </c>
      <c r="E131" t="s">
        <v>22</v>
      </c>
      <c r="F131" s="4">
        <v>15.99</v>
      </c>
      <c r="G131" s="4">
        <v>15.99</v>
      </c>
    </row>
    <row r="132" spans="2:7" hidden="1" x14ac:dyDescent="0.25">
      <c r="B132" t="str">
        <f>_xlfn.XLOOKUP(Export[[#This Row],[store]],Table2[store '#],Table2[Franchise])</f>
        <v>Portland</v>
      </c>
      <c r="C132">
        <v>2549</v>
      </c>
      <c r="D132" t="s">
        <v>33</v>
      </c>
      <c r="E132" t="s">
        <v>34</v>
      </c>
      <c r="F132" s="4">
        <v>29.99</v>
      </c>
      <c r="G132" s="4">
        <v>29.99</v>
      </c>
    </row>
    <row r="133" spans="2:7" hidden="1" x14ac:dyDescent="0.25">
      <c r="B133" t="str">
        <f>_xlfn.XLOOKUP(Export[[#This Row],[store]],Table2[store '#],Table2[Franchise])</f>
        <v>Portland</v>
      </c>
      <c r="C133">
        <v>2549</v>
      </c>
      <c r="D133" t="s">
        <v>31</v>
      </c>
      <c r="E133" t="s">
        <v>32</v>
      </c>
      <c r="F133" s="4">
        <v>15.99</v>
      </c>
      <c r="G133" s="4">
        <v>15.99</v>
      </c>
    </row>
    <row r="134" spans="2:7" hidden="1" x14ac:dyDescent="0.25">
      <c r="B134" t="str">
        <f>_xlfn.XLOOKUP(Export[[#This Row],[store]],Table2[store '#],Table2[Franchise])</f>
        <v>Portland</v>
      </c>
      <c r="C134">
        <v>2549</v>
      </c>
      <c r="D134" t="s">
        <v>44</v>
      </c>
      <c r="E134" t="s">
        <v>45</v>
      </c>
      <c r="F134" s="4">
        <v>20.99</v>
      </c>
      <c r="G134" s="4">
        <v>20.99</v>
      </c>
    </row>
    <row r="135" spans="2:7" hidden="1" x14ac:dyDescent="0.25">
      <c r="B135" t="str">
        <f>_xlfn.XLOOKUP(Export[[#This Row],[store]],Table2[store '#],Table2[Franchise])</f>
        <v>Portland</v>
      </c>
      <c r="C135">
        <v>2549</v>
      </c>
      <c r="D135" t="s">
        <v>78</v>
      </c>
      <c r="E135" t="s">
        <v>79</v>
      </c>
      <c r="F135" s="4">
        <v>6.99</v>
      </c>
      <c r="G135" s="4">
        <v>6.99</v>
      </c>
    </row>
    <row r="136" spans="2:7" hidden="1" x14ac:dyDescent="0.25">
      <c r="B136" t="str">
        <f>_xlfn.XLOOKUP(Export[[#This Row],[store]],Table2[store '#],Table2[Franchise])</f>
        <v>Portland</v>
      </c>
      <c r="C136">
        <v>2549</v>
      </c>
      <c r="D136" t="s">
        <v>80</v>
      </c>
      <c r="E136" t="s">
        <v>81</v>
      </c>
      <c r="F136" s="4">
        <v>4.99</v>
      </c>
      <c r="G136" s="4">
        <v>4.99</v>
      </c>
    </row>
    <row r="137" spans="2:7" ht="30" hidden="1" x14ac:dyDescent="0.25">
      <c r="B137" t="str">
        <f>_xlfn.XLOOKUP(Export[[#This Row],[store]],Table2[store '#],Table2[Franchise])</f>
        <v>Portland</v>
      </c>
      <c r="C137">
        <v>2549</v>
      </c>
      <c r="D137" t="s">
        <v>62</v>
      </c>
      <c r="E137" s="6" t="s">
        <v>63</v>
      </c>
    </row>
    <row r="138" spans="2:7" hidden="1" x14ac:dyDescent="0.25">
      <c r="B138" t="str">
        <f>_xlfn.XLOOKUP(Export[[#This Row],[store]],Table2[store '#],Table2[Franchise])</f>
        <v>Portland</v>
      </c>
      <c r="C138">
        <v>2603</v>
      </c>
      <c r="D138" t="s">
        <v>76</v>
      </c>
      <c r="E138" t="s">
        <v>77</v>
      </c>
      <c r="F138" s="4">
        <v>13.99</v>
      </c>
      <c r="G138" s="4">
        <v>13.99</v>
      </c>
    </row>
    <row r="139" spans="2:7" hidden="1" x14ac:dyDescent="0.25">
      <c r="B139" t="str">
        <f>_xlfn.XLOOKUP(Export[[#This Row],[store]],Table2[store '#],Table2[Franchise])</f>
        <v>Portland</v>
      </c>
      <c r="C139">
        <v>2603</v>
      </c>
      <c r="D139" t="s">
        <v>6</v>
      </c>
      <c r="E139" t="s">
        <v>61</v>
      </c>
      <c r="F139" s="4">
        <v>6.99</v>
      </c>
      <c r="G139" s="4">
        <v>6.99</v>
      </c>
    </row>
    <row r="140" spans="2:7" hidden="1" x14ac:dyDescent="0.25">
      <c r="B140" t="str">
        <f>_xlfn.XLOOKUP(Export[[#This Row],[store]],Table2[store '#],Table2[Franchise])</f>
        <v>Portland</v>
      </c>
      <c r="C140">
        <v>2603</v>
      </c>
      <c r="D140" t="s">
        <v>17</v>
      </c>
      <c r="E140" t="s">
        <v>18</v>
      </c>
      <c r="F140" s="4">
        <v>9.99</v>
      </c>
      <c r="G140" s="4">
        <v>9.99</v>
      </c>
    </row>
    <row r="141" spans="2:7" hidden="1" x14ac:dyDescent="0.25">
      <c r="B141" t="str">
        <f>_xlfn.XLOOKUP(Export[[#This Row],[store]],Table2[store '#],Table2[Franchise])</f>
        <v>Portland</v>
      </c>
      <c r="C141">
        <v>2603</v>
      </c>
      <c r="D141" t="s">
        <v>19</v>
      </c>
      <c r="E141" t="s">
        <v>20</v>
      </c>
      <c r="F141" s="4">
        <v>12.99</v>
      </c>
      <c r="G141" s="4">
        <v>12.99</v>
      </c>
    </row>
    <row r="142" spans="2:7" hidden="1" x14ac:dyDescent="0.25">
      <c r="B142" t="str">
        <f>_xlfn.XLOOKUP(Export[[#This Row],[store]],Table2[store '#],Table2[Franchise])</f>
        <v>Portland</v>
      </c>
      <c r="C142">
        <v>2603</v>
      </c>
      <c r="D142" t="s">
        <v>35</v>
      </c>
      <c r="E142" t="s">
        <v>36</v>
      </c>
      <c r="F142" s="4">
        <v>14.99</v>
      </c>
      <c r="G142" s="4">
        <v>14.99</v>
      </c>
    </row>
    <row r="143" spans="2:7" hidden="1" x14ac:dyDescent="0.25">
      <c r="B143" t="str">
        <f>_xlfn.XLOOKUP(Export[[#This Row],[store]],Table2[store '#],Table2[Franchise])</f>
        <v>Portland</v>
      </c>
      <c r="C143">
        <v>2603</v>
      </c>
      <c r="D143" t="s">
        <v>27</v>
      </c>
      <c r="E143" t="s">
        <v>37</v>
      </c>
      <c r="F143" s="4">
        <v>18.989999999999998</v>
      </c>
      <c r="G143" s="4">
        <v>18.989999999999998</v>
      </c>
    </row>
    <row r="144" spans="2:7" hidden="1" x14ac:dyDescent="0.25">
      <c r="B144" t="str">
        <f>_xlfn.XLOOKUP(Export[[#This Row],[store]],Table2[store '#],Table2[Franchise])</f>
        <v>Portland</v>
      </c>
      <c r="C144">
        <v>2603</v>
      </c>
      <c r="D144" t="s">
        <v>23</v>
      </c>
      <c r="E144" t="s">
        <v>24</v>
      </c>
      <c r="F144" s="5">
        <v>10</v>
      </c>
      <c r="G144" s="5">
        <v>10</v>
      </c>
    </row>
    <row r="145" spans="2:7" hidden="1" x14ac:dyDescent="0.25">
      <c r="B145" t="str">
        <f>_xlfn.XLOOKUP(Export[[#This Row],[store]],Table2[store '#],Table2[Franchise])</f>
        <v>Portland</v>
      </c>
      <c r="C145">
        <v>2603</v>
      </c>
      <c r="D145" t="s">
        <v>38</v>
      </c>
      <c r="E145" t="s">
        <v>39</v>
      </c>
      <c r="F145" s="4">
        <v>13.99</v>
      </c>
      <c r="G145" s="4">
        <v>13.99</v>
      </c>
    </row>
    <row r="146" spans="2:7" hidden="1" x14ac:dyDescent="0.25">
      <c r="B146" t="str">
        <f>_xlfn.XLOOKUP(Export[[#This Row],[store]],Table2[store '#],Table2[Franchise])</f>
        <v>Portland</v>
      </c>
      <c r="C146">
        <v>2603</v>
      </c>
      <c r="D146" t="s">
        <v>40</v>
      </c>
      <c r="E146" t="s">
        <v>41</v>
      </c>
      <c r="F146" s="4">
        <v>17.989999999999998</v>
      </c>
      <c r="G146" s="4">
        <v>17.989999999999998</v>
      </c>
    </row>
    <row r="147" spans="2:7" hidden="1" x14ac:dyDescent="0.25">
      <c r="B147" t="str">
        <f>_xlfn.XLOOKUP(Export[[#This Row],[store]],Table2[store '#],Table2[Franchise])</f>
        <v>Portland</v>
      </c>
      <c r="C147">
        <v>2603</v>
      </c>
      <c r="D147" t="s">
        <v>42</v>
      </c>
      <c r="E147" t="s">
        <v>43</v>
      </c>
      <c r="F147" s="4">
        <v>25.98</v>
      </c>
      <c r="G147" s="4">
        <v>25.98</v>
      </c>
    </row>
    <row r="148" spans="2:7" hidden="1" x14ac:dyDescent="0.25">
      <c r="B148" t="str">
        <f>_xlfn.XLOOKUP(Export[[#This Row],[store]],Table2[store '#],Table2[Franchise])</f>
        <v>Portland</v>
      </c>
      <c r="C148">
        <v>2603</v>
      </c>
      <c r="D148" t="s">
        <v>21</v>
      </c>
      <c r="E148" t="s">
        <v>22</v>
      </c>
      <c r="F148" s="4">
        <v>15.99</v>
      </c>
      <c r="G148" s="4">
        <v>15.99</v>
      </c>
    </row>
    <row r="149" spans="2:7" hidden="1" x14ac:dyDescent="0.25">
      <c r="B149" t="str">
        <f>_xlfn.XLOOKUP(Export[[#This Row],[store]],Table2[store '#],Table2[Franchise])</f>
        <v>Portland</v>
      </c>
      <c r="C149">
        <v>2603</v>
      </c>
      <c r="D149" t="s">
        <v>33</v>
      </c>
      <c r="E149" t="s">
        <v>34</v>
      </c>
      <c r="F149" s="4">
        <v>29.99</v>
      </c>
      <c r="G149" s="4">
        <v>29.99</v>
      </c>
    </row>
    <row r="150" spans="2:7" hidden="1" x14ac:dyDescent="0.25">
      <c r="B150" t="str">
        <f>_xlfn.XLOOKUP(Export[[#This Row],[store]],Table2[store '#],Table2[Franchise])</f>
        <v>Portland</v>
      </c>
      <c r="C150">
        <v>2603</v>
      </c>
      <c r="D150" t="s">
        <v>31</v>
      </c>
      <c r="E150" t="s">
        <v>32</v>
      </c>
      <c r="F150" s="4">
        <v>15.99</v>
      </c>
      <c r="G150" s="4">
        <v>15.99</v>
      </c>
    </row>
    <row r="151" spans="2:7" hidden="1" x14ac:dyDescent="0.25">
      <c r="B151" t="str">
        <f>_xlfn.XLOOKUP(Export[[#This Row],[store]],Table2[store '#],Table2[Franchise])</f>
        <v>Portland</v>
      </c>
      <c r="C151">
        <v>2603</v>
      </c>
      <c r="D151" t="s">
        <v>44</v>
      </c>
      <c r="E151" t="s">
        <v>45</v>
      </c>
      <c r="F151" s="4">
        <v>20.99</v>
      </c>
      <c r="G151" s="4">
        <v>20.99</v>
      </c>
    </row>
    <row r="152" spans="2:7" hidden="1" x14ac:dyDescent="0.25">
      <c r="B152" t="str">
        <f>_xlfn.XLOOKUP(Export[[#This Row],[store]],Table2[store '#],Table2[Franchise])</f>
        <v>Portland</v>
      </c>
      <c r="C152">
        <v>2603</v>
      </c>
      <c r="D152" t="s">
        <v>78</v>
      </c>
      <c r="E152" t="s">
        <v>79</v>
      </c>
      <c r="F152" s="4">
        <v>6.99</v>
      </c>
      <c r="G152" s="4">
        <v>6.99</v>
      </c>
    </row>
    <row r="153" spans="2:7" hidden="1" x14ac:dyDescent="0.25">
      <c r="B153" t="str">
        <f>_xlfn.XLOOKUP(Export[[#This Row],[store]],Table2[store '#],Table2[Franchise])</f>
        <v>Portland</v>
      </c>
      <c r="C153">
        <v>2603</v>
      </c>
      <c r="D153" t="s">
        <v>80</v>
      </c>
      <c r="E153" t="s">
        <v>81</v>
      </c>
      <c r="F153" s="4">
        <v>4.99</v>
      </c>
      <c r="G153" s="4">
        <v>4.99</v>
      </c>
    </row>
    <row r="154" spans="2:7" ht="30" hidden="1" x14ac:dyDescent="0.25">
      <c r="B154" t="str">
        <f>_xlfn.XLOOKUP(Export[[#This Row],[store]],Table2[store '#],Table2[Franchise])</f>
        <v>Portland</v>
      </c>
      <c r="C154">
        <v>2603</v>
      </c>
      <c r="D154" t="s">
        <v>62</v>
      </c>
      <c r="E154" s="6" t="s">
        <v>63</v>
      </c>
    </row>
    <row r="155" spans="2:7" hidden="1" x14ac:dyDescent="0.25">
      <c r="B155" t="str">
        <f>_xlfn.XLOOKUP(Export[[#This Row],[store]],Table2[store '#],Table2[Franchise])</f>
        <v>Portland</v>
      </c>
      <c r="C155">
        <v>2953</v>
      </c>
      <c r="D155" t="s">
        <v>76</v>
      </c>
      <c r="E155" t="s">
        <v>77</v>
      </c>
      <c r="F155" s="4">
        <v>13.99</v>
      </c>
      <c r="G155" s="4">
        <v>13.99</v>
      </c>
    </row>
    <row r="156" spans="2:7" hidden="1" x14ac:dyDescent="0.25">
      <c r="B156" t="str">
        <f>_xlfn.XLOOKUP(Export[[#This Row],[store]],Table2[store '#],Table2[Franchise])</f>
        <v>Portland</v>
      </c>
      <c r="C156">
        <v>2953</v>
      </c>
      <c r="D156" t="s">
        <v>6</v>
      </c>
      <c r="E156" t="s">
        <v>61</v>
      </c>
      <c r="F156" s="4">
        <v>6.99</v>
      </c>
      <c r="G156" s="4">
        <v>6.99</v>
      </c>
    </row>
    <row r="157" spans="2:7" hidden="1" x14ac:dyDescent="0.25">
      <c r="B157" t="str">
        <f>_xlfn.XLOOKUP(Export[[#This Row],[store]],Table2[store '#],Table2[Franchise])</f>
        <v>Portland</v>
      </c>
      <c r="C157">
        <v>2953</v>
      </c>
      <c r="D157" t="s">
        <v>17</v>
      </c>
      <c r="E157" t="s">
        <v>18</v>
      </c>
      <c r="F157" s="4">
        <v>9.99</v>
      </c>
      <c r="G157" s="4">
        <v>9.99</v>
      </c>
    </row>
    <row r="158" spans="2:7" hidden="1" x14ac:dyDescent="0.25">
      <c r="B158" t="str">
        <f>_xlfn.XLOOKUP(Export[[#This Row],[store]],Table2[store '#],Table2[Franchise])</f>
        <v>Portland</v>
      </c>
      <c r="C158">
        <v>2953</v>
      </c>
      <c r="D158" t="s">
        <v>19</v>
      </c>
      <c r="E158" t="s">
        <v>20</v>
      </c>
      <c r="F158" s="4">
        <v>12.99</v>
      </c>
      <c r="G158" s="4">
        <v>12.99</v>
      </c>
    </row>
    <row r="159" spans="2:7" hidden="1" x14ac:dyDescent="0.25">
      <c r="B159" t="str">
        <f>_xlfn.XLOOKUP(Export[[#This Row],[store]],Table2[store '#],Table2[Franchise])</f>
        <v>Portland</v>
      </c>
      <c r="C159">
        <v>2953</v>
      </c>
      <c r="D159" t="s">
        <v>46</v>
      </c>
      <c r="E159" t="s">
        <v>36</v>
      </c>
      <c r="F159" s="4">
        <v>14.99</v>
      </c>
      <c r="G159" s="4">
        <v>14.99</v>
      </c>
    </row>
    <row r="160" spans="2:7" hidden="1" x14ac:dyDescent="0.25">
      <c r="B160" t="str">
        <f>_xlfn.XLOOKUP(Export[[#This Row],[store]],Table2[store '#],Table2[Franchise])</f>
        <v>Portland</v>
      </c>
      <c r="C160">
        <v>2953</v>
      </c>
      <c r="D160" t="s">
        <v>27</v>
      </c>
      <c r="E160" t="s">
        <v>47</v>
      </c>
      <c r="F160" s="4">
        <v>18.989999999999998</v>
      </c>
      <c r="G160" s="4">
        <v>18.989999999999998</v>
      </c>
    </row>
    <row r="161" spans="2:7" hidden="1" x14ac:dyDescent="0.25">
      <c r="B161" t="str">
        <f>_xlfn.XLOOKUP(Export[[#This Row],[store]],Table2[store '#],Table2[Franchise])</f>
        <v>Portland</v>
      </c>
      <c r="C161">
        <v>2953</v>
      </c>
      <c r="D161" t="s">
        <v>23</v>
      </c>
      <c r="E161" t="s">
        <v>24</v>
      </c>
      <c r="F161" s="5">
        <v>10</v>
      </c>
      <c r="G161" s="5">
        <v>10</v>
      </c>
    </row>
    <row r="162" spans="2:7" hidden="1" x14ac:dyDescent="0.25">
      <c r="B162" t="str">
        <f>_xlfn.XLOOKUP(Export[[#This Row],[store]],Table2[store '#],Table2[Franchise])</f>
        <v>Portland</v>
      </c>
      <c r="C162">
        <v>2953</v>
      </c>
      <c r="D162" t="s">
        <v>38</v>
      </c>
      <c r="E162" t="s">
        <v>39</v>
      </c>
      <c r="F162" s="4">
        <v>13.99</v>
      </c>
      <c r="G162" s="4">
        <v>13.99</v>
      </c>
    </row>
    <row r="163" spans="2:7" hidden="1" x14ac:dyDescent="0.25">
      <c r="B163" t="str">
        <f>_xlfn.XLOOKUP(Export[[#This Row],[store]],Table2[store '#],Table2[Franchise])</f>
        <v>Portland</v>
      </c>
      <c r="C163">
        <v>2953</v>
      </c>
      <c r="D163" t="s">
        <v>40</v>
      </c>
      <c r="E163" t="s">
        <v>41</v>
      </c>
      <c r="F163" s="4">
        <v>17.989999999999998</v>
      </c>
      <c r="G163" s="4">
        <v>17.989999999999998</v>
      </c>
    </row>
    <row r="164" spans="2:7" hidden="1" x14ac:dyDescent="0.25">
      <c r="B164" t="str">
        <f>_xlfn.XLOOKUP(Export[[#This Row],[store]],Table2[store '#],Table2[Franchise])</f>
        <v>Portland</v>
      </c>
      <c r="C164">
        <v>2953</v>
      </c>
      <c r="D164" t="s">
        <v>21</v>
      </c>
      <c r="E164" t="s">
        <v>22</v>
      </c>
      <c r="F164" s="4">
        <v>15.99</v>
      </c>
      <c r="G164" s="4">
        <v>15.99</v>
      </c>
    </row>
    <row r="165" spans="2:7" hidden="1" x14ac:dyDescent="0.25">
      <c r="B165" t="str">
        <f>_xlfn.XLOOKUP(Export[[#This Row],[store]],Table2[store '#],Table2[Franchise])</f>
        <v>Portland</v>
      </c>
      <c r="C165">
        <v>2953</v>
      </c>
      <c r="D165" t="s">
        <v>33</v>
      </c>
      <c r="E165" t="s">
        <v>34</v>
      </c>
      <c r="F165" s="4">
        <v>29.99</v>
      </c>
      <c r="G165" s="4">
        <v>29.99</v>
      </c>
    </row>
    <row r="166" spans="2:7" hidden="1" x14ac:dyDescent="0.25">
      <c r="B166" t="str">
        <f>_xlfn.XLOOKUP(Export[[#This Row],[store]],Table2[store '#],Table2[Franchise])</f>
        <v>Portland</v>
      </c>
      <c r="C166">
        <v>2953</v>
      </c>
      <c r="D166" t="s">
        <v>31</v>
      </c>
      <c r="E166" t="s">
        <v>32</v>
      </c>
      <c r="F166" s="4">
        <v>15.99</v>
      </c>
      <c r="G166" s="4">
        <v>15.99</v>
      </c>
    </row>
    <row r="167" spans="2:7" hidden="1" x14ac:dyDescent="0.25">
      <c r="B167" t="str">
        <f>_xlfn.XLOOKUP(Export[[#This Row],[store]],Table2[store '#],Table2[Franchise])</f>
        <v>Portland</v>
      </c>
      <c r="C167">
        <v>2953</v>
      </c>
      <c r="D167" t="s">
        <v>48</v>
      </c>
      <c r="E167" t="s">
        <v>49</v>
      </c>
      <c r="F167" s="4">
        <v>20.99</v>
      </c>
      <c r="G167" s="4">
        <v>20.99</v>
      </c>
    </row>
    <row r="168" spans="2:7" hidden="1" x14ac:dyDescent="0.25">
      <c r="B168" t="str">
        <f>_xlfn.XLOOKUP(Export[[#This Row],[store]],Table2[store '#],Table2[Franchise])</f>
        <v>Portland</v>
      </c>
      <c r="C168">
        <v>2953</v>
      </c>
      <c r="D168" t="s">
        <v>50</v>
      </c>
      <c r="E168" t="s">
        <v>51</v>
      </c>
      <c r="F168" s="4">
        <v>25.98</v>
      </c>
      <c r="G168" s="4">
        <v>25.98</v>
      </c>
    </row>
    <row r="169" spans="2:7" hidden="1" x14ac:dyDescent="0.25">
      <c r="B169" t="str">
        <f>_xlfn.XLOOKUP(Export[[#This Row],[store]],Table2[store '#],Table2[Franchise])</f>
        <v>Portland</v>
      </c>
      <c r="C169">
        <v>2953</v>
      </c>
      <c r="D169" t="s">
        <v>78</v>
      </c>
      <c r="E169" t="s">
        <v>79</v>
      </c>
      <c r="F169" s="4">
        <v>6.99</v>
      </c>
      <c r="G169" s="4">
        <v>6.99</v>
      </c>
    </row>
    <row r="170" spans="2:7" hidden="1" x14ac:dyDescent="0.25">
      <c r="B170" t="str">
        <f>_xlfn.XLOOKUP(Export[[#This Row],[store]],Table2[store '#],Table2[Franchise])</f>
        <v>Portland</v>
      </c>
      <c r="C170">
        <v>2953</v>
      </c>
      <c r="D170" t="s">
        <v>80</v>
      </c>
      <c r="E170" t="s">
        <v>81</v>
      </c>
      <c r="F170" s="4">
        <v>4.99</v>
      </c>
      <c r="G170" s="4">
        <v>4.99</v>
      </c>
    </row>
    <row r="171" spans="2:7" ht="30" hidden="1" x14ac:dyDescent="0.25">
      <c r="B171" t="str">
        <f>_xlfn.XLOOKUP(Export[[#This Row],[store]],Table2[store '#],Table2[Franchise])</f>
        <v>Portland</v>
      </c>
      <c r="C171">
        <v>2953</v>
      </c>
      <c r="D171" t="s">
        <v>62</v>
      </c>
      <c r="E171" s="6" t="s">
        <v>63</v>
      </c>
    </row>
    <row r="172" spans="2:7" hidden="1" x14ac:dyDescent="0.25">
      <c r="B172" t="str">
        <f>_xlfn.XLOOKUP(Export[[#This Row],[store]],Table2[store '#],Table2[Franchise])</f>
        <v>Portland</v>
      </c>
      <c r="C172">
        <v>3498</v>
      </c>
      <c r="D172" t="s">
        <v>76</v>
      </c>
      <c r="E172" t="s">
        <v>77</v>
      </c>
      <c r="F172" s="4">
        <v>13.99</v>
      </c>
      <c r="G172" s="4">
        <v>13.99</v>
      </c>
    </row>
    <row r="173" spans="2:7" hidden="1" x14ac:dyDescent="0.25">
      <c r="B173" t="str">
        <f>_xlfn.XLOOKUP(Export[[#This Row],[store]],Table2[store '#],Table2[Franchise])</f>
        <v>Portland</v>
      </c>
      <c r="C173">
        <v>3498</v>
      </c>
      <c r="D173" t="s">
        <v>6</v>
      </c>
      <c r="E173" t="s">
        <v>61</v>
      </c>
      <c r="F173" s="4">
        <v>6.99</v>
      </c>
      <c r="G173" s="4">
        <v>6.99</v>
      </c>
    </row>
    <row r="174" spans="2:7" hidden="1" x14ac:dyDescent="0.25">
      <c r="B174" t="str">
        <f>_xlfn.XLOOKUP(Export[[#This Row],[store]],Table2[store '#],Table2[Franchise])</f>
        <v>Portland</v>
      </c>
      <c r="C174">
        <v>3498</v>
      </c>
      <c r="D174" t="s">
        <v>17</v>
      </c>
      <c r="E174" t="s">
        <v>18</v>
      </c>
      <c r="F174" s="4">
        <v>9.99</v>
      </c>
      <c r="G174" s="4">
        <v>9.99</v>
      </c>
    </row>
    <row r="175" spans="2:7" hidden="1" x14ac:dyDescent="0.25">
      <c r="B175" t="str">
        <f>_xlfn.XLOOKUP(Export[[#This Row],[store]],Table2[store '#],Table2[Franchise])</f>
        <v>Portland</v>
      </c>
      <c r="C175">
        <v>3498</v>
      </c>
      <c r="D175" t="s">
        <v>19</v>
      </c>
      <c r="E175" t="s">
        <v>20</v>
      </c>
      <c r="F175" s="4">
        <v>12.99</v>
      </c>
      <c r="G175" s="4">
        <v>12.99</v>
      </c>
    </row>
    <row r="176" spans="2:7" hidden="1" x14ac:dyDescent="0.25">
      <c r="B176" t="str">
        <f>_xlfn.XLOOKUP(Export[[#This Row],[store]],Table2[store '#],Table2[Franchise])</f>
        <v>Portland</v>
      </c>
      <c r="C176">
        <v>3498</v>
      </c>
      <c r="D176" t="s">
        <v>46</v>
      </c>
      <c r="E176" t="s">
        <v>36</v>
      </c>
      <c r="F176" s="4">
        <v>14.99</v>
      </c>
      <c r="G176" s="4">
        <v>14.99</v>
      </c>
    </row>
    <row r="177" spans="2:7" hidden="1" x14ac:dyDescent="0.25">
      <c r="B177" t="str">
        <f>_xlfn.XLOOKUP(Export[[#This Row],[store]],Table2[store '#],Table2[Franchise])</f>
        <v>Portland</v>
      </c>
      <c r="C177">
        <v>3498</v>
      </c>
      <c r="D177" t="s">
        <v>27</v>
      </c>
      <c r="E177" t="s">
        <v>47</v>
      </c>
      <c r="F177" s="4">
        <v>18.989999999999998</v>
      </c>
      <c r="G177" s="4">
        <v>18.989999999999998</v>
      </c>
    </row>
    <row r="178" spans="2:7" hidden="1" x14ac:dyDescent="0.25">
      <c r="B178" t="str">
        <f>_xlfn.XLOOKUP(Export[[#This Row],[store]],Table2[store '#],Table2[Franchise])</f>
        <v>Portland</v>
      </c>
      <c r="C178">
        <v>3498</v>
      </c>
      <c r="D178" t="s">
        <v>23</v>
      </c>
      <c r="E178" t="s">
        <v>24</v>
      </c>
      <c r="F178" s="5">
        <v>10</v>
      </c>
      <c r="G178" s="5">
        <v>10</v>
      </c>
    </row>
    <row r="179" spans="2:7" hidden="1" x14ac:dyDescent="0.25">
      <c r="B179" t="str">
        <f>_xlfn.XLOOKUP(Export[[#This Row],[store]],Table2[store '#],Table2[Franchise])</f>
        <v>Portland</v>
      </c>
      <c r="C179">
        <v>3498</v>
      </c>
      <c r="D179" t="s">
        <v>38</v>
      </c>
      <c r="E179" t="s">
        <v>39</v>
      </c>
      <c r="F179" s="4">
        <v>13.99</v>
      </c>
      <c r="G179" s="4">
        <v>13.99</v>
      </c>
    </row>
    <row r="180" spans="2:7" hidden="1" x14ac:dyDescent="0.25">
      <c r="B180" t="str">
        <f>_xlfn.XLOOKUP(Export[[#This Row],[store]],Table2[store '#],Table2[Franchise])</f>
        <v>Portland</v>
      </c>
      <c r="C180">
        <v>3498</v>
      </c>
      <c r="D180" t="s">
        <v>40</v>
      </c>
      <c r="E180" t="s">
        <v>41</v>
      </c>
      <c r="F180" s="4">
        <v>17.989999999999998</v>
      </c>
      <c r="G180" s="4">
        <v>17.989999999999998</v>
      </c>
    </row>
    <row r="181" spans="2:7" hidden="1" x14ac:dyDescent="0.25">
      <c r="B181" t="str">
        <f>_xlfn.XLOOKUP(Export[[#This Row],[store]],Table2[store '#],Table2[Franchise])</f>
        <v>Portland</v>
      </c>
      <c r="C181">
        <v>3498</v>
      </c>
      <c r="D181" t="s">
        <v>21</v>
      </c>
      <c r="E181" t="s">
        <v>22</v>
      </c>
      <c r="F181" s="4">
        <v>15.99</v>
      </c>
      <c r="G181" s="4">
        <v>15.99</v>
      </c>
    </row>
    <row r="182" spans="2:7" hidden="1" x14ac:dyDescent="0.25">
      <c r="B182" t="str">
        <f>_xlfn.XLOOKUP(Export[[#This Row],[store]],Table2[store '#],Table2[Franchise])</f>
        <v>Portland</v>
      </c>
      <c r="C182">
        <v>3498</v>
      </c>
      <c r="D182" t="s">
        <v>33</v>
      </c>
      <c r="E182" t="s">
        <v>34</v>
      </c>
      <c r="F182" s="4">
        <v>29.99</v>
      </c>
      <c r="G182" s="4">
        <v>29.99</v>
      </c>
    </row>
    <row r="183" spans="2:7" hidden="1" x14ac:dyDescent="0.25">
      <c r="B183" t="str">
        <f>_xlfn.XLOOKUP(Export[[#This Row],[store]],Table2[store '#],Table2[Franchise])</f>
        <v>Portland</v>
      </c>
      <c r="C183">
        <v>3498</v>
      </c>
      <c r="D183" t="s">
        <v>31</v>
      </c>
      <c r="E183" t="s">
        <v>32</v>
      </c>
      <c r="F183" s="4">
        <v>15.99</v>
      </c>
      <c r="G183" s="4">
        <v>15.99</v>
      </c>
    </row>
    <row r="184" spans="2:7" hidden="1" x14ac:dyDescent="0.25">
      <c r="B184" t="str">
        <f>_xlfn.XLOOKUP(Export[[#This Row],[store]],Table2[store '#],Table2[Franchise])</f>
        <v>Portland</v>
      </c>
      <c r="C184">
        <v>3498</v>
      </c>
      <c r="D184" t="s">
        <v>48</v>
      </c>
      <c r="E184" t="s">
        <v>49</v>
      </c>
      <c r="F184" s="4">
        <v>20.99</v>
      </c>
      <c r="G184" s="4">
        <v>20.99</v>
      </c>
    </row>
    <row r="185" spans="2:7" hidden="1" x14ac:dyDescent="0.25">
      <c r="B185" t="str">
        <f>_xlfn.XLOOKUP(Export[[#This Row],[store]],Table2[store '#],Table2[Franchise])</f>
        <v>Portland</v>
      </c>
      <c r="C185">
        <v>3498</v>
      </c>
      <c r="D185" t="s">
        <v>50</v>
      </c>
      <c r="E185" t="s">
        <v>51</v>
      </c>
      <c r="F185" s="4">
        <v>25.98</v>
      </c>
      <c r="G185" s="4">
        <v>25.98</v>
      </c>
    </row>
    <row r="186" spans="2:7" hidden="1" x14ac:dyDescent="0.25">
      <c r="B186" t="str">
        <f>_xlfn.XLOOKUP(Export[[#This Row],[store]],Table2[store '#],Table2[Franchise])</f>
        <v>Portland</v>
      </c>
      <c r="C186">
        <v>3498</v>
      </c>
      <c r="D186" t="s">
        <v>78</v>
      </c>
      <c r="E186" t="s">
        <v>79</v>
      </c>
      <c r="F186" s="4">
        <v>6.99</v>
      </c>
      <c r="G186" s="4">
        <v>6.99</v>
      </c>
    </row>
    <row r="187" spans="2:7" hidden="1" x14ac:dyDescent="0.25">
      <c r="B187" t="str">
        <f>_xlfn.XLOOKUP(Export[[#This Row],[store]],Table2[store '#],Table2[Franchise])</f>
        <v>Portland</v>
      </c>
      <c r="C187">
        <v>3498</v>
      </c>
      <c r="D187" t="s">
        <v>80</v>
      </c>
      <c r="E187" t="s">
        <v>81</v>
      </c>
      <c r="F187" s="4">
        <v>4.99</v>
      </c>
      <c r="G187" s="4">
        <v>4.99</v>
      </c>
    </row>
    <row r="188" spans="2:7" ht="30" hidden="1" x14ac:dyDescent="0.25">
      <c r="B188" t="str">
        <f>_xlfn.XLOOKUP(Export[[#This Row],[store]],Table2[store '#],Table2[Franchise])</f>
        <v>Portland</v>
      </c>
      <c r="C188">
        <v>3498</v>
      </c>
      <c r="D188" t="s">
        <v>62</v>
      </c>
      <c r="E188" s="6" t="s">
        <v>63</v>
      </c>
    </row>
    <row r="189" spans="2:7" hidden="1" x14ac:dyDescent="0.25">
      <c r="B189" t="str">
        <f>_xlfn.XLOOKUP(Export[[#This Row],[store]],Table2[store '#],Table2[Franchise])</f>
        <v>Portland</v>
      </c>
      <c r="C189">
        <v>4778</v>
      </c>
      <c r="D189" t="s">
        <v>76</v>
      </c>
      <c r="E189" t="s">
        <v>77</v>
      </c>
      <c r="F189" s="4">
        <v>13.99</v>
      </c>
      <c r="G189" s="4">
        <v>13.99</v>
      </c>
    </row>
    <row r="190" spans="2:7" hidden="1" x14ac:dyDescent="0.25">
      <c r="B190" t="str">
        <f>_xlfn.XLOOKUP(Export[[#This Row],[store]],Table2[store '#],Table2[Franchise])</f>
        <v>Portland</v>
      </c>
      <c r="C190">
        <v>4778</v>
      </c>
      <c r="D190" t="s">
        <v>6</v>
      </c>
      <c r="E190" t="s">
        <v>61</v>
      </c>
      <c r="F190" s="4">
        <v>6.99</v>
      </c>
      <c r="G190" s="4">
        <v>6.99</v>
      </c>
    </row>
    <row r="191" spans="2:7" hidden="1" x14ac:dyDescent="0.25">
      <c r="B191" t="str">
        <f>_xlfn.XLOOKUP(Export[[#This Row],[store]],Table2[store '#],Table2[Franchise])</f>
        <v>Portland</v>
      </c>
      <c r="C191">
        <v>4778</v>
      </c>
      <c r="D191" t="s">
        <v>17</v>
      </c>
      <c r="E191" t="s">
        <v>18</v>
      </c>
      <c r="F191" s="4">
        <v>9.99</v>
      </c>
      <c r="G191" s="4">
        <v>9.99</v>
      </c>
    </row>
    <row r="192" spans="2:7" hidden="1" x14ac:dyDescent="0.25">
      <c r="B192" t="str">
        <f>_xlfn.XLOOKUP(Export[[#This Row],[store]],Table2[store '#],Table2[Franchise])</f>
        <v>Portland</v>
      </c>
      <c r="C192">
        <v>4778</v>
      </c>
      <c r="D192" t="s">
        <v>19</v>
      </c>
      <c r="E192" t="s">
        <v>20</v>
      </c>
      <c r="F192" s="4">
        <v>12.99</v>
      </c>
      <c r="G192" s="4">
        <v>12.99</v>
      </c>
    </row>
    <row r="193" spans="2:7" hidden="1" x14ac:dyDescent="0.25">
      <c r="B193" t="str">
        <f>_xlfn.XLOOKUP(Export[[#This Row],[store]],Table2[store '#],Table2[Franchise])</f>
        <v>Portland</v>
      </c>
      <c r="C193">
        <v>4778</v>
      </c>
      <c r="D193" t="s">
        <v>35</v>
      </c>
      <c r="E193" t="s">
        <v>36</v>
      </c>
      <c r="F193" s="4">
        <v>14.99</v>
      </c>
      <c r="G193" s="4">
        <v>14.99</v>
      </c>
    </row>
    <row r="194" spans="2:7" hidden="1" x14ac:dyDescent="0.25">
      <c r="B194" t="str">
        <f>_xlfn.XLOOKUP(Export[[#This Row],[store]],Table2[store '#],Table2[Franchise])</f>
        <v>Portland</v>
      </c>
      <c r="C194">
        <v>4778</v>
      </c>
      <c r="D194" t="s">
        <v>27</v>
      </c>
      <c r="E194" t="s">
        <v>37</v>
      </c>
      <c r="F194" s="4">
        <v>18.989999999999998</v>
      </c>
      <c r="G194" s="4">
        <v>18.989999999999998</v>
      </c>
    </row>
    <row r="195" spans="2:7" hidden="1" x14ac:dyDescent="0.25">
      <c r="B195" t="str">
        <f>_xlfn.XLOOKUP(Export[[#This Row],[store]],Table2[store '#],Table2[Franchise])</f>
        <v>Portland</v>
      </c>
      <c r="C195">
        <v>4778</v>
      </c>
      <c r="D195" t="s">
        <v>23</v>
      </c>
      <c r="E195" t="s">
        <v>24</v>
      </c>
      <c r="F195" s="5">
        <v>10</v>
      </c>
      <c r="G195" s="5">
        <v>10</v>
      </c>
    </row>
    <row r="196" spans="2:7" hidden="1" x14ac:dyDescent="0.25">
      <c r="B196" t="str">
        <f>_xlfn.XLOOKUP(Export[[#This Row],[store]],Table2[store '#],Table2[Franchise])</f>
        <v>Portland</v>
      </c>
      <c r="C196">
        <v>4778</v>
      </c>
      <c r="D196" t="s">
        <v>38</v>
      </c>
      <c r="E196" t="s">
        <v>39</v>
      </c>
      <c r="F196" s="4">
        <v>13.99</v>
      </c>
      <c r="G196" s="4">
        <v>13.99</v>
      </c>
    </row>
    <row r="197" spans="2:7" hidden="1" x14ac:dyDescent="0.25">
      <c r="B197" t="str">
        <f>_xlfn.XLOOKUP(Export[[#This Row],[store]],Table2[store '#],Table2[Franchise])</f>
        <v>Portland</v>
      </c>
      <c r="C197">
        <v>4778</v>
      </c>
      <c r="D197" t="s">
        <v>40</v>
      </c>
      <c r="E197" t="s">
        <v>41</v>
      </c>
      <c r="F197" s="4">
        <v>17.989999999999998</v>
      </c>
      <c r="G197" s="4">
        <v>17.989999999999998</v>
      </c>
    </row>
    <row r="198" spans="2:7" hidden="1" x14ac:dyDescent="0.25">
      <c r="B198" t="str">
        <f>_xlfn.XLOOKUP(Export[[#This Row],[store]],Table2[store '#],Table2[Franchise])</f>
        <v>Portland</v>
      </c>
      <c r="C198">
        <v>4778</v>
      </c>
      <c r="D198" t="s">
        <v>42</v>
      </c>
      <c r="E198" t="s">
        <v>43</v>
      </c>
      <c r="F198" s="4">
        <v>25.98</v>
      </c>
      <c r="G198" s="4">
        <v>25.98</v>
      </c>
    </row>
    <row r="199" spans="2:7" hidden="1" x14ac:dyDescent="0.25">
      <c r="B199" t="str">
        <f>_xlfn.XLOOKUP(Export[[#This Row],[store]],Table2[store '#],Table2[Franchise])</f>
        <v>Portland</v>
      </c>
      <c r="C199">
        <v>4778</v>
      </c>
      <c r="D199" t="s">
        <v>21</v>
      </c>
      <c r="E199" t="s">
        <v>22</v>
      </c>
      <c r="F199" s="4">
        <v>15.99</v>
      </c>
      <c r="G199" s="4">
        <v>15.99</v>
      </c>
    </row>
    <row r="200" spans="2:7" hidden="1" x14ac:dyDescent="0.25">
      <c r="B200" t="str">
        <f>_xlfn.XLOOKUP(Export[[#This Row],[store]],Table2[store '#],Table2[Franchise])</f>
        <v>Portland</v>
      </c>
      <c r="C200">
        <v>4778</v>
      </c>
      <c r="D200" t="s">
        <v>33</v>
      </c>
      <c r="E200" t="s">
        <v>34</v>
      </c>
      <c r="F200" s="4">
        <v>29.99</v>
      </c>
      <c r="G200" s="4">
        <v>29.99</v>
      </c>
    </row>
    <row r="201" spans="2:7" hidden="1" x14ac:dyDescent="0.25">
      <c r="B201" t="str">
        <f>_xlfn.XLOOKUP(Export[[#This Row],[store]],Table2[store '#],Table2[Franchise])</f>
        <v>Portland</v>
      </c>
      <c r="C201">
        <v>4778</v>
      </c>
      <c r="D201" t="s">
        <v>31</v>
      </c>
      <c r="E201" t="s">
        <v>32</v>
      </c>
      <c r="F201" s="4">
        <v>15.99</v>
      </c>
      <c r="G201" s="4">
        <v>15.99</v>
      </c>
    </row>
    <row r="202" spans="2:7" hidden="1" x14ac:dyDescent="0.25">
      <c r="B202" t="str">
        <f>_xlfn.XLOOKUP(Export[[#This Row],[store]],Table2[store '#],Table2[Franchise])</f>
        <v>Portland</v>
      </c>
      <c r="C202">
        <v>4778</v>
      </c>
      <c r="D202" t="s">
        <v>44</v>
      </c>
      <c r="E202" t="s">
        <v>45</v>
      </c>
      <c r="F202" s="4">
        <v>20.99</v>
      </c>
      <c r="G202" s="4">
        <v>20.99</v>
      </c>
    </row>
    <row r="203" spans="2:7" hidden="1" x14ac:dyDescent="0.25">
      <c r="B203" t="str">
        <f>_xlfn.XLOOKUP(Export[[#This Row],[store]],Table2[store '#],Table2[Franchise])</f>
        <v>Portland</v>
      </c>
      <c r="C203">
        <v>4778</v>
      </c>
      <c r="D203" t="s">
        <v>78</v>
      </c>
      <c r="E203" t="s">
        <v>79</v>
      </c>
      <c r="F203" s="4">
        <v>6.99</v>
      </c>
      <c r="G203" s="4">
        <v>6.99</v>
      </c>
    </row>
    <row r="204" spans="2:7" hidden="1" x14ac:dyDescent="0.25">
      <c r="B204" t="str">
        <f>_xlfn.XLOOKUP(Export[[#This Row],[store]],Table2[store '#],Table2[Franchise])</f>
        <v>Portland</v>
      </c>
      <c r="C204">
        <v>4778</v>
      </c>
      <c r="D204" t="s">
        <v>80</v>
      </c>
      <c r="E204" t="s">
        <v>81</v>
      </c>
      <c r="F204" s="4">
        <v>4.99</v>
      </c>
      <c r="G204" s="4">
        <v>4.99</v>
      </c>
    </row>
    <row r="205" spans="2:7" ht="30" hidden="1" x14ac:dyDescent="0.25">
      <c r="B205" t="str">
        <f>_xlfn.XLOOKUP(Export[[#This Row],[store]],Table2[store '#],Table2[Franchise])</f>
        <v>Portland</v>
      </c>
      <c r="C205">
        <v>4778</v>
      </c>
      <c r="D205" t="s">
        <v>62</v>
      </c>
      <c r="E205" s="6" t="s">
        <v>63</v>
      </c>
    </row>
    <row r="206" spans="2:7" hidden="1" x14ac:dyDescent="0.25">
      <c r="B206" t="str">
        <f>_xlfn.XLOOKUP(Export[[#This Row],[store]],Table2[store '#],Table2[Franchise])</f>
        <v>Tacoma</v>
      </c>
      <c r="C206">
        <v>2208</v>
      </c>
      <c r="D206" t="s">
        <v>76</v>
      </c>
      <c r="E206" t="s">
        <v>77</v>
      </c>
      <c r="F206" s="4">
        <v>13.99</v>
      </c>
      <c r="G206" s="4">
        <v>13.99</v>
      </c>
    </row>
    <row r="207" spans="2:7" hidden="1" x14ac:dyDescent="0.25">
      <c r="B207" t="str">
        <f>_xlfn.XLOOKUP(Export[[#This Row],[store]],Table2[store '#],Table2[Franchise])</f>
        <v>Tacoma</v>
      </c>
      <c r="C207">
        <v>2208</v>
      </c>
      <c r="D207" t="s">
        <v>6</v>
      </c>
      <c r="E207" t="s">
        <v>61</v>
      </c>
      <c r="F207" s="4">
        <v>6.99</v>
      </c>
      <c r="G207" s="4">
        <v>6.99</v>
      </c>
    </row>
    <row r="208" spans="2:7" hidden="1" x14ac:dyDescent="0.25">
      <c r="B208" t="str">
        <f>_xlfn.XLOOKUP(Export[[#This Row],[store]],Table2[store '#],Table2[Franchise])</f>
        <v>Tacoma</v>
      </c>
      <c r="C208">
        <v>2208</v>
      </c>
      <c r="D208" t="s">
        <v>17</v>
      </c>
      <c r="E208" t="s">
        <v>18</v>
      </c>
      <c r="F208" s="4">
        <v>9.99</v>
      </c>
      <c r="G208" s="4">
        <v>9.99</v>
      </c>
    </row>
    <row r="209" spans="2:7" hidden="1" x14ac:dyDescent="0.25">
      <c r="B209" t="str">
        <f>_xlfn.XLOOKUP(Export[[#This Row],[store]],Table2[store '#],Table2[Franchise])</f>
        <v>Tacoma</v>
      </c>
      <c r="C209">
        <v>2208</v>
      </c>
      <c r="D209" t="s">
        <v>19</v>
      </c>
      <c r="E209" t="s">
        <v>20</v>
      </c>
      <c r="F209" s="4">
        <v>12.99</v>
      </c>
      <c r="G209" s="4">
        <v>12.99</v>
      </c>
    </row>
    <row r="210" spans="2:7" hidden="1" x14ac:dyDescent="0.25">
      <c r="B210" t="str">
        <f>_xlfn.XLOOKUP(Export[[#This Row],[store]],Table2[store '#],Table2[Franchise])</f>
        <v>Tacoma</v>
      </c>
      <c r="C210">
        <v>2208</v>
      </c>
      <c r="D210" t="s">
        <v>25</v>
      </c>
      <c r="E210" t="s">
        <v>26</v>
      </c>
      <c r="F210" s="4">
        <v>15.99</v>
      </c>
      <c r="G210" s="4">
        <v>15.99</v>
      </c>
    </row>
    <row r="211" spans="2:7" hidden="1" x14ac:dyDescent="0.25">
      <c r="B211" t="str">
        <f>_xlfn.XLOOKUP(Export[[#This Row],[store]],Table2[store '#],Table2[Franchise])</f>
        <v>Tacoma</v>
      </c>
      <c r="C211">
        <v>2208</v>
      </c>
      <c r="D211" t="s">
        <v>23</v>
      </c>
      <c r="E211" t="s">
        <v>24</v>
      </c>
      <c r="F211" s="5">
        <v>10</v>
      </c>
      <c r="G211" s="5">
        <v>10</v>
      </c>
    </row>
    <row r="212" spans="2:7" hidden="1" x14ac:dyDescent="0.25">
      <c r="B212" t="str">
        <f>_xlfn.XLOOKUP(Export[[#This Row],[store]],Table2[store '#],Table2[Franchise])</f>
        <v>Tacoma</v>
      </c>
      <c r="C212">
        <v>2208</v>
      </c>
      <c r="D212" t="s">
        <v>29</v>
      </c>
      <c r="E212" t="s">
        <v>30</v>
      </c>
      <c r="F212" s="4">
        <v>25.99</v>
      </c>
      <c r="G212" s="4">
        <v>25.99</v>
      </c>
    </row>
    <row r="213" spans="2:7" hidden="1" x14ac:dyDescent="0.25">
      <c r="B213" t="str">
        <f>_xlfn.XLOOKUP(Export[[#This Row],[store]],Table2[store '#],Table2[Franchise])</f>
        <v>Tacoma</v>
      </c>
      <c r="C213">
        <v>2208</v>
      </c>
      <c r="D213" t="s">
        <v>27</v>
      </c>
      <c r="E213" t="s">
        <v>28</v>
      </c>
      <c r="F213" s="4">
        <v>18.989999999999998</v>
      </c>
      <c r="G213" s="4">
        <v>18.989999999999998</v>
      </c>
    </row>
    <row r="214" spans="2:7" hidden="1" x14ac:dyDescent="0.25">
      <c r="B214" t="str">
        <f>_xlfn.XLOOKUP(Export[[#This Row],[store]],Table2[store '#],Table2[Franchise])</f>
        <v>Tacoma</v>
      </c>
      <c r="C214">
        <v>2208</v>
      </c>
      <c r="D214" t="s">
        <v>33</v>
      </c>
      <c r="E214" t="s">
        <v>34</v>
      </c>
      <c r="F214" s="4">
        <v>29.99</v>
      </c>
      <c r="G214" s="4">
        <v>29.99</v>
      </c>
    </row>
    <row r="215" spans="2:7" hidden="1" x14ac:dyDescent="0.25">
      <c r="B215" t="str">
        <f>_xlfn.XLOOKUP(Export[[#This Row],[store]],Table2[store '#],Table2[Franchise])</f>
        <v>Tacoma</v>
      </c>
      <c r="C215">
        <v>2208</v>
      </c>
      <c r="D215" t="s">
        <v>21</v>
      </c>
      <c r="E215" t="s">
        <v>22</v>
      </c>
      <c r="F215" s="4">
        <v>15.99</v>
      </c>
      <c r="G215" s="4">
        <v>15.99</v>
      </c>
    </row>
    <row r="216" spans="2:7" hidden="1" x14ac:dyDescent="0.25">
      <c r="B216" t="str">
        <f>_xlfn.XLOOKUP(Export[[#This Row],[store]],Table2[store '#],Table2[Franchise])</f>
        <v>Tacoma</v>
      </c>
      <c r="C216">
        <v>2208</v>
      </c>
      <c r="D216" t="s">
        <v>31</v>
      </c>
      <c r="E216" t="s">
        <v>32</v>
      </c>
      <c r="F216" s="4">
        <v>15.99</v>
      </c>
      <c r="G216" s="4">
        <v>15.99</v>
      </c>
    </row>
    <row r="217" spans="2:7" hidden="1" x14ac:dyDescent="0.25">
      <c r="B217" t="str">
        <f>_xlfn.XLOOKUP(Export[[#This Row],[store]],Table2[store '#],Table2[Franchise])</f>
        <v>Tacoma</v>
      </c>
      <c r="C217">
        <v>2208</v>
      </c>
      <c r="D217" t="s">
        <v>66</v>
      </c>
      <c r="E217" t="s">
        <v>67</v>
      </c>
    </row>
    <row r="218" spans="2:7" hidden="1" x14ac:dyDescent="0.25">
      <c r="B218" t="str">
        <f>_xlfn.XLOOKUP(Export[[#This Row],[store]],Table2[store '#],Table2[Franchise])</f>
        <v>Tacoma</v>
      </c>
      <c r="C218">
        <v>2208</v>
      </c>
      <c r="D218" t="s">
        <v>78</v>
      </c>
      <c r="E218" t="s">
        <v>79</v>
      </c>
      <c r="F218" s="4">
        <v>6.99</v>
      </c>
      <c r="G218" s="4">
        <v>6.99</v>
      </c>
    </row>
    <row r="219" spans="2:7" hidden="1" x14ac:dyDescent="0.25">
      <c r="B219" t="str">
        <f>_xlfn.XLOOKUP(Export[[#This Row],[store]],Table2[store '#],Table2[Franchise])</f>
        <v>Tacoma</v>
      </c>
      <c r="C219">
        <v>2208</v>
      </c>
      <c r="D219" t="s">
        <v>80</v>
      </c>
      <c r="E219" t="s">
        <v>81</v>
      </c>
      <c r="F219" s="4">
        <v>4.99</v>
      </c>
      <c r="G219" s="4">
        <v>4.99</v>
      </c>
    </row>
    <row r="220" spans="2:7" ht="30" hidden="1" x14ac:dyDescent="0.25">
      <c r="B220" t="str">
        <f>_xlfn.XLOOKUP(Export[[#This Row],[store]],Table2[store '#],Table2[Franchise])</f>
        <v>Tacoma</v>
      </c>
      <c r="C220">
        <v>2208</v>
      </c>
      <c r="D220" t="s">
        <v>62</v>
      </c>
      <c r="E220" s="6" t="s">
        <v>63</v>
      </c>
    </row>
    <row r="221" spans="2:7" hidden="1" x14ac:dyDescent="0.25">
      <c r="B221" t="str">
        <f>_xlfn.XLOOKUP(Export[[#This Row],[store]],Table2[store '#],Table2[Franchise])</f>
        <v>Tacoma</v>
      </c>
      <c r="C221">
        <v>2325</v>
      </c>
      <c r="D221" t="s">
        <v>76</v>
      </c>
      <c r="E221" t="s">
        <v>77</v>
      </c>
      <c r="F221" s="4">
        <v>13.99</v>
      </c>
      <c r="G221" s="4">
        <v>13.99</v>
      </c>
    </row>
    <row r="222" spans="2:7" hidden="1" x14ac:dyDescent="0.25">
      <c r="B222" t="str">
        <f>_xlfn.XLOOKUP(Export[[#This Row],[store]],Table2[store '#],Table2[Franchise])</f>
        <v>Tacoma</v>
      </c>
      <c r="C222">
        <v>2325</v>
      </c>
      <c r="D222" t="s">
        <v>6</v>
      </c>
      <c r="E222" t="s">
        <v>61</v>
      </c>
      <c r="F222" s="4">
        <v>6.99</v>
      </c>
      <c r="G222" s="4">
        <v>6.99</v>
      </c>
    </row>
    <row r="223" spans="2:7" hidden="1" x14ac:dyDescent="0.25">
      <c r="B223" t="str">
        <f>_xlfn.XLOOKUP(Export[[#This Row],[store]],Table2[store '#],Table2[Franchise])</f>
        <v>Tacoma</v>
      </c>
      <c r="C223">
        <v>2325</v>
      </c>
      <c r="D223" t="s">
        <v>17</v>
      </c>
      <c r="E223" t="s">
        <v>18</v>
      </c>
      <c r="F223" s="4">
        <v>9.99</v>
      </c>
      <c r="G223" s="4">
        <v>9.99</v>
      </c>
    </row>
    <row r="224" spans="2:7" hidden="1" x14ac:dyDescent="0.25">
      <c r="B224" t="str">
        <f>_xlfn.XLOOKUP(Export[[#This Row],[store]],Table2[store '#],Table2[Franchise])</f>
        <v>Tacoma</v>
      </c>
      <c r="C224">
        <v>2325</v>
      </c>
      <c r="D224" t="s">
        <v>19</v>
      </c>
      <c r="E224" t="s">
        <v>20</v>
      </c>
      <c r="F224" s="4">
        <v>12.99</v>
      </c>
      <c r="G224" s="4">
        <v>12.99</v>
      </c>
    </row>
    <row r="225" spans="2:7" hidden="1" x14ac:dyDescent="0.25">
      <c r="B225" t="str">
        <f>_xlfn.XLOOKUP(Export[[#This Row],[store]],Table2[store '#],Table2[Franchise])</f>
        <v>Tacoma</v>
      </c>
      <c r="C225">
        <v>2325</v>
      </c>
      <c r="D225" t="s">
        <v>25</v>
      </c>
      <c r="E225" t="s">
        <v>26</v>
      </c>
      <c r="F225" s="4">
        <v>15.99</v>
      </c>
      <c r="G225" s="4">
        <v>15.99</v>
      </c>
    </row>
    <row r="226" spans="2:7" hidden="1" x14ac:dyDescent="0.25">
      <c r="B226" t="str">
        <f>_xlfn.XLOOKUP(Export[[#This Row],[store]],Table2[store '#],Table2[Franchise])</f>
        <v>Tacoma</v>
      </c>
      <c r="C226">
        <v>2325</v>
      </c>
      <c r="D226" t="s">
        <v>23</v>
      </c>
      <c r="E226" t="s">
        <v>24</v>
      </c>
      <c r="F226" s="5">
        <v>10</v>
      </c>
      <c r="G226" s="5">
        <v>10</v>
      </c>
    </row>
    <row r="227" spans="2:7" hidden="1" x14ac:dyDescent="0.25">
      <c r="B227" t="str">
        <f>_xlfn.XLOOKUP(Export[[#This Row],[store]],Table2[store '#],Table2[Franchise])</f>
        <v>Tacoma</v>
      </c>
      <c r="C227">
        <v>2325</v>
      </c>
      <c r="D227" t="s">
        <v>29</v>
      </c>
      <c r="E227" t="s">
        <v>30</v>
      </c>
      <c r="F227" s="4">
        <v>25.99</v>
      </c>
      <c r="G227" s="4">
        <v>25.99</v>
      </c>
    </row>
    <row r="228" spans="2:7" hidden="1" x14ac:dyDescent="0.25">
      <c r="B228" t="str">
        <f>_xlfn.XLOOKUP(Export[[#This Row],[store]],Table2[store '#],Table2[Franchise])</f>
        <v>Tacoma</v>
      </c>
      <c r="C228">
        <v>2325</v>
      </c>
      <c r="D228" t="s">
        <v>27</v>
      </c>
      <c r="E228" t="s">
        <v>28</v>
      </c>
      <c r="F228" s="4">
        <v>18.989999999999998</v>
      </c>
      <c r="G228" s="4">
        <v>18.989999999999998</v>
      </c>
    </row>
    <row r="229" spans="2:7" hidden="1" x14ac:dyDescent="0.25">
      <c r="B229" t="str">
        <f>_xlfn.XLOOKUP(Export[[#This Row],[store]],Table2[store '#],Table2[Franchise])</f>
        <v>Tacoma</v>
      </c>
      <c r="C229">
        <v>2325</v>
      </c>
      <c r="D229" t="s">
        <v>33</v>
      </c>
      <c r="E229" t="s">
        <v>34</v>
      </c>
      <c r="F229" s="4">
        <v>29.99</v>
      </c>
      <c r="G229" s="4">
        <v>29.99</v>
      </c>
    </row>
    <row r="230" spans="2:7" hidden="1" x14ac:dyDescent="0.25">
      <c r="B230" t="str">
        <f>_xlfn.XLOOKUP(Export[[#This Row],[store]],Table2[store '#],Table2[Franchise])</f>
        <v>Tacoma</v>
      </c>
      <c r="C230">
        <v>2325</v>
      </c>
      <c r="D230" t="s">
        <v>21</v>
      </c>
      <c r="E230" t="s">
        <v>22</v>
      </c>
      <c r="F230" s="4">
        <v>15.99</v>
      </c>
      <c r="G230" s="4">
        <v>15.99</v>
      </c>
    </row>
    <row r="231" spans="2:7" hidden="1" x14ac:dyDescent="0.25">
      <c r="B231" t="str">
        <f>_xlfn.XLOOKUP(Export[[#This Row],[store]],Table2[store '#],Table2[Franchise])</f>
        <v>Tacoma</v>
      </c>
      <c r="C231">
        <v>2325</v>
      </c>
      <c r="D231" t="s">
        <v>31</v>
      </c>
      <c r="E231" t="s">
        <v>32</v>
      </c>
      <c r="F231" s="4">
        <v>15.99</v>
      </c>
      <c r="G231" s="4">
        <v>15.99</v>
      </c>
    </row>
    <row r="232" spans="2:7" hidden="1" x14ac:dyDescent="0.25">
      <c r="B232" t="str">
        <f>_xlfn.XLOOKUP(Export[[#This Row],[store]],Table2[store '#],Table2[Franchise])</f>
        <v>Tacoma</v>
      </c>
      <c r="C232">
        <v>2325</v>
      </c>
      <c r="D232" t="s">
        <v>66</v>
      </c>
      <c r="E232" t="s">
        <v>67</v>
      </c>
    </row>
    <row r="233" spans="2:7" hidden="1" x14ac:dyDescent="0.25">
      <c r="B233" t="str">
        <f>_xlfn.XLOOKUP(Export[[#This Row],[store]],Table2[store '#],Table2[Franchise])</f>
        <v>Tacoma</v>
      </c>
      <c r="C233">
        <v>2325</v>
      </c>
      <c r="D233" t="s">
        <v>78</v>
      </c>
      <c r="E233" t="s">
        <v>79</v>
      </c>
      <c r="F233" s="4">
        <v>6.99</v>
      </c>
      <c r="G233" s="4">
        <v>6.99</v>
      </c>
    </row>
    <row r="234" spans="2:7" hidden="1" x14ac:dyDescent="0.25">
      <c r="B234" t="str">
        <f>_xlfn.XLOOKUP(Export[[#This Row],[store]],Table2[store '#],Table2[Franchise])</f>
        <v>Tacoma</v>
      </c>
      <c r="C234">
        <v>2325</v>
      </c>
      <c r="D234" t="s">
        <v>80</v>
      </c>
      <c r="E234" t="s">
        <v>81</v>
      </c>
      <c r="F234" s="4">
        <v>4.99</v>
      </c>
      <c r="G234" s="4">
        <v>4.99</v>
      </c>
    </row>
    <row r="235" spans="2:7" ht="30" hidden="1" x14ac:dyDescent="0.25">
      <c r="B235" t="str">
        <f>_xlfn.XLOOKUP(Export[[#This Row],[store]],Table2[store '#],Table2[Franchise])</f>
        <v>Tacoma</v>
      </c>
      <c r="C235">
        <v>2325</v>
      </c>
      <c r="D235" t="s">
        <v>62</v>
      </c>
      <c r="E235" s="6" t="s">
        <v>63</v>
      </c>
    </row>
    <row r="236" spans="2:7" hidden="1" x14ac:dyDescent="0.25">
      <c r="B236" t="str">
        <f>_xlfn.XLOOKUP(Export[[#This Row],[store]],Table2[store '#],Table2[Franchise])</f>
        <v>Tacoma</v>
      </c>
      <c r="C236">
        <v>2478</v>
      </c>
      <c r="D236" t="s">
        <v>76</v>
      </c>
      <c r="E236" t="s">
        <v>77</v>
      </c>
      <c r="F236" s="4">
        <v>13.99</v>
      </c>
      <c r="G236" s="4">
        <v>13.99</v>
      </c>
    </row>
    <row r="237" spans="2:7" hidden="1" x14ac:dyDescent="0.25">
      <c r="B237" t="str">
        <f>_xlfn.XLOOKUP(Export[[#This Row],[store]],Table2[store '#],Table2[Franchise])</f>
        <v>Tacoma</v>
      </c>
      <c r="C237">
        <v>2478</v>
      </c>
      <c r="D237" t="s">
        <v>6</v>
      </c>
      <c r="E237" t="s">
        <v>61</v>
      </c>
      <c r="F237" s="4">
        <v>6.99</v>
      </c>
      <c r="G237" s="4">
        <v>6.99</v>
      </c>
    </row>
    <row r="238" spans="2:7" hidden="1" x14ac:dyDescent="0.25">
      <c r="B238" t="str">
        <f>_xlfn.XLOOKUP(Export[[#This Row],[store]],Table2[store '#],Table2[Franchise])</f>
        <v>Tacoma</v>
      </c>
      <c r="C238">
        <v>2478</v>
      </c>
      <c r="D238" t="s">
        <v>17</v>
      </c>
      <c r="E238" t="s">
        <v>18</v>
      </c>
      <c r="F238" s="4">
        <v>9.99</v>
      </c>
      <c r="G238" s="4">
        <v>9.99</v>
      </c>
    </row>
    <row r="239" spans="2:7" hidden="1" x14ac:dyDescent="0.25">
      <c r="B239" t="str">
        <f>_xlfn.XLOOKUP(Export[[#This Row],[store]],Table2[store '#],Table2[Franchise])</f>
        <v>Tacoma</v>
      </c>
      <c r="C239">
        <v>2478</v>
      </c>
      <c r="D239" t="s">
        <v>19</v>
      </c>
      <c r="E239" t="s">
        <v>20</v>
      </c>
      <c r="F239" s="4">
        <v>12.99</v>
      </c>
      <c r="G239" s="4">
        <v>12.99</v>
      </c>
    </row>
    <row r="240" spans="2:7" hidden="1" x14ac:dyDescent="0.25">
      <c r="B240" t="str">
        <f>_xlfn.XLOOKUP(Export[[#This Row],[store]],Table2[store '#],Table2[Franchise])</f>
        <v>Tacoma</v>
      </c>
      <c r="C240">
        <v>2478</v>
      </c>
      <c r="D240" t="s">
        <v>25</v>
      </c>
      <c r="E240" t="s">
        <v>26</v>
      </c>
      <c r="F240" s="4">
        <v>15.99</v>
      </c>
      <c r="G240" s="4">
        <v>15.99</v>
      </c>
    </row>
    <row r="241" spans="2:7" hidden="1" x14ac:dyDescent="0.25">
      <c r="B241" t="str">
        <f>_xlfn.XLOOKUP(Export[[#This Row],[store]],Table2[store '#],Table2[Franchise])</f>
        <v>Tacoma</v>
      </c>
      <c r="C241">
        <v>2478</v>
      </c>
      <c r="D241" t="s">
        <v>23</v>
      </c>
      <c r="E241" t="s">
        <v>24</v>
      </c>
      <c r="F241" s="5">
        <v>10</v>
      </c>
      <c r="G241" s="5">
        <v>10</v>
      </c>
    </row>
    <row r="242" spans="2:7" hidden="1" x14ac:dyDescent="0.25">
      <c r="B242" t="str">
        <f>_xlfn.XLOOKUP(Export[[#This Row],[store]],Table2[store '#],Table2[Franchise])</f>
        <v>Tacoma</v>
      </c>
      <c r="C242">
        <v>2478</v>
      </c>
      <c r="D242" t="s">
        <v>29</v>
      </c>
      <c r="E242" t="s">
        <v>30</v>
      </c>
      <c r="F242" s="4">
        <v>25.99</v>
      </c>
      <c r="G242" s="4">
        <v>25.99</v>
      </c>
    </row>
    <row r="243" spans="2:7" hidden="1" x14ac:dyDescent="0.25">
      <c r="B243" t="str">
        <f>_xlfn.XLOOKUP(Export[[#This Row],[store]],Table2[store '#],Table2[Franchise])</f>
        <v>Tacoma</v>
      </c>
      <c r="C243">
        <v>2478</v>
      </c>
      <c r="D243" t="s">
        <v>27</v>
      </c>
      <c r="E243" t="s">
        <v>28</v>
      </c>
      <c r="F243" s="4">
        <v>18.989999999999998</v>
      </c>
      <c r="G243" s="4">
        <v>18.989999999999998</v>
      </c>
    </row>
    <row r="244" spans="2:7" hidden="1" x14ac:dyDescent="0.25">
      <c r="B244" t="str">
        <f>_xlfn.XLOOKUP(Export[[#This Row],[store]],Table2[store '#],Table2[Franchise])</f>
        <v>Tacoma</v>
      </c>
      <c r="C244">
        <v>2478</v>
      </c>
      <c r="D244" t="s">
        <v>33</v>
      </c>
      <c r="E244" t="s">
        <v>34</v>
      </c>
      <c r="F244" s="4">
        <v>29.99</v>
      </c>
      <c r="G244" s="4">
        <v>29.99</v>
      </c>
    </row>
    <row r="245" spans="2:7" hidden="1" x14ac:dyDescent="0.25">
      <c r="B245" t="str">
        <f>_xlfn.XLOOKUP(Export[[#This Row],[store]],Table2[store '#],Table2[Franchise])</f>
        <v>Tacoma</v>
      </c>
      <c r="C245">
        <v>2478</v>
      </c>
      <c r="D245" t="s">
        <v>21</v>
      </c>
      <c r="E245" t="s">
        <v>22</v>
      </c>
      <c r="F245" s="4">
        <v>15.99</v>
      </c>
      <c r="G245" s="4">
        <v>15.99</v>
      </c>
    </row>
    <row r="246" spans="2:7" hidden="1" x14ac:dyDescent="0.25">
      <c r="B246" t="str">
        <f>_xlfn.XLOOKUP(Export[[#This Row],[store]],Table2[store '#],Table2[Franchise])</f>
        <v>Tacoma</v>
      </c>
      <c r="C246">
        <v>2478</v>
      </c>
      <c r="D246" t="s">
        <v>31</v>
      </c>
      <c r="E246" t="s">
        <v>32</v>
      </c>
      <c r="F246" s="4">
        <v>15.99</v>
      </c>
      <c r="G246" s="4">
        <v>15.99</v>
      </c>
    </row>
    <row r="247" spans="2:7" hidden="1" x14ac:dyDescent="0.25">
      <c r="B247" t="str">
        <f>_xlfn.XLOOKUP(Export[[#This Row],[store]],Table2[store '#],Table2[Franchise])</f>
        <v>Tacoma</v>
      </c>
      <c r="C247">
        <v>2478</v>
      </c>
      <c r="D247" t="s">
        <v>66</v>
      </c>
      <c r="E247" t="s">
        <v>67</v>
      </c>
    </row>
    <row r="248" spans="2:7" hidden="1" x14ac:dyDescent="0.25">
      <c r="B248" t="str">
        <f>_xlfn.XLOOKUP(Export[[#This Row],[store]],Table2[store '#],Table2[Franchise])</f>
        <v>Tacoma</v>
      </c>
      <c r="C248">
        <v>2478</v>
      </c>
      <c r="D248" t="s">
        <v>78</v>
      </c>
      <c r="E248" t="s">
        <v>79</v>
      </c>
      <c r="F248" s="4">
        <v>6.99</v>
      </c>
      <c r="G248" s="4">
        <v>6.99</v>
      </c>
    </row>
    <row r="249" spans="2:7" hidden="1" x14ac:dyDescent="0.25">
      <c r="B249" t="str">
        <f>_xlfn.XLOOKUP(Export[[#This Row],[store]],Table2[store '#],Table2[Franchise])</f>
        <v>Tacoma</v>
      </c>
      <c r="C249">
        <v>2478</v>
      </c>
      <c r="D249" t="s">
        <v>80</v>
      </c>
      <c r="E249" t="s">
        <v>81</v>
      </c>
      <c r="F249" s="4">
        <v>4.99</v>
      </c>
      <c r="G249" s="4">
        <v>4.99</v>
      </c>
    </row>
    <row r="250" spans="2:7" ht="30" hidden="1" x14ac:dyDescent="0.25">
      <c r="B250" t="str">
        <f>_xlfn.XLOOKUP(Export[[#This Row],[store]],Table2[store '#],Table2[Franchise])</f>
        <v>Tacoma</v>
      </c>
      <c r="C250">
        <v>2478</v>
      </c>
      <c r="D250" t="s">
        <v>62</v>
      </c>
      <c r="E250" s="6" t="s">
        <v>63</v>
      </c>
    </row>
    <row r="251" spans="2:7" hidden="1" x14ac:dyDescent="0.25">
      <c r="B251" t="str">
        <f>_xlfn.XLOOKUP(Export[[#This Row],[store]],Table2[store '#],Table2[Franchise])</f>
        <v>Tacoma</v>
      </c>
      <c r="C251">
        <v>2612</v>
      </c>
      <c r="D251" t="s">
        <v>76</v>
      </c>
      <c r="E251" t="s">
        <v>77</v>
      </c>
      <c r="F251" s="4">
        <v>13.99</v>
      </c>
      <c r="G251" s="4">
        <v>13.99</v>
      </c>
    </row>
    <row r="252" spans="2:7" hidden="1" x14ac:dyDescent="0.25">
      <c r="B252" t="str">
        <f>_xlfn.XLOOKUP(Export[[#This Row],[store]],Table2[store '#],Table2[Franchise])</f>
        <v>Tacoma</v>
      </c>
      <c r="C252">
        <v>2612</v>
      </c>
      <c r="D252" t="s">
        <v>6</v>
      </c>
      <c r="E252" t="s">
        <v>61</v>
      </c>
      <c r="F252" s="4">
        <v>6.99</v>
      </c>
      <c r="G252" s="4">
        <v>6.99</v>
      </c>
    </row>
    <row r="253" spans="2:7" hidden="1" x14ac:dyDescent="0.25">
      <c r="B253" t="str">
        <f>_xlfn.XLOOKUP(Export[[#This Row],[store]],Table2[store '#],Table2[Franchise])</f>
        <v>Tacoma</v>
      </c>
      <c r="C253">
        <v>2612</v>
      </c>
      <c r="D253" t="s">
        <v>17</v>
      </c>
      <c r="E253" t="s">
        <v>18</v>
      </c>
      <c r="F253" s="4">
        <v>9.99</v>
      </c>
      <c r="G253" s="4">
        <v>9.99</v>
      </c>
    </row>
    <row r="254" spans="2:7" hidden="1" x14ac:dyDescent="0.25">
      <c r="B254" t="str">
        <f>_xlfn.XLOOKUP(Export[[#This Row],[store]],Table2[store '#],Table2[Franchise])</f>
        <v>Tacoma</v>
      </c>
      <c r="C254">
        <v>2612</v>
      </c>
      <c r="D254" t="s">
        <v>19</v>
      </c>
      <c r="E254" t="s">
        <v>20</v>
      </c>
      <c r="F254" s="4">
        <v>12.99</v>
      </c>
      <c r="G254" s="4">
        <v>12.99</v>
      </c>
    </row>
    <row r="255" spans="2:7" hidden="1" x14ac:dyDescent="0.25">
      <c r="B255" t="str">
        <f>_xlfn.XLOOKUP(Export[[#This Row],[store]],Table2[store '#],Table2[Franchise])</f>
        <v>Tacoma</v>
      </c>
      <c r="C255">
        <v>2612</v>
      </c>
      <c r="D255" t="s">
        <v>25</v>
      </c>
      <c r="E255" t="s">
        <v>26</v>
      </c>
      <c r="F255" s="4">
        <v>15.99</v>
      </c>
      <c r="G255" s="4">
        <v>15.99</v>
      </c>
    </row>
    <row r="256" spans="2:7" hidden="1" x14ac:dyDescent="0.25">
      <c r="B256" t="str">
        <f>_xlfn.XLOOKUP(Export[[#This Row],[store]],Table2[store '#],Table2[Franchise])</f>
        <v>Tacoma</v>
      </c>
      <c r="C256">
        <v>2612</v>
      </c>
      <c r="D256" t="s">
        <v>23</v>
      </c>
      <c r="E256" t="s">
        <v>24</v>
      </c>
      <c r="F256" s="5">
        <v>10</v>
      </c>
      <c r="G256" s="5">
        <v>10</v>
      </c>
    </row>
    <row r="257" spans="2:7" hidden="1" x14ac:dyDescent="0.25">
      <c r="B257" t="str">
        <f>_xlfn.XLOOKUP(Export[[#This Row],[store]],Table2[store '#],Table2[Franchise])</f>
        <v>Tacoma</v>
      </c>
      <c r="C257">
        <v>2612</v>
      </c>
      <c r="D257" t="s">
        <v>29</v>
      </c>
      <c r="E257" t="s">
        <v>30</v>
      </c>
      <c r="F257" s="4">
        <v>25.99</v>
      </c>
      <c r="G257" s="4">
        <v>25.99</v>
      </c>
    </row>
    <row r="258" spans="2:7" hidden="1" x14ac:dyDescent="0.25">
      <c r="B258" t="str">
        <f>_xlfn.XLOOKUP(Export[[#This Row],[store]],Table2[store '#],Table2[Franchise])</f>
        <v>Tacoma</v>
      </c>
      <c r="C258">
        <v>2612</v>
      </c>
      <c r="D258" t="s">
        <v>27</v>
      </c>
      <c r="E258" t="s">
        <v>28</v>
      </c>
      <c r="F258" s="4">
        <v>18.989999999999998</v>
      </c>
      <c r="G258" s="4">
        <v>18.989999999999998</v>
      </c>
    </row>
    <row r="259" spans="2:7" hidden="1" x14ac:dyDescent="0.25">
      <c r="B259" t="str">
        <f>_xlfn.XLOOKUP(Export[[#This Row],[store]],Table2[store '#],Table2[Franchise])</f>
        <v>Tacoma</v>
      </c>
      <c r="C259">
        <v>2612</v>
      </c>
      <c r="D259" t="s">
        <v>33</v>
      </c>
      <c r="E259" t="s">
        <v>34</v>
      </c>
      <c r="F259" s="4">
        <v>29.99</v>
      </c>
      <c r="G259" s="4">
        <v>29.99</v>
      </c>
    </row>
    <row r="260" spans="2:7" hidden="1" x14ac:dyDescent="0.25">
      <c r="B260" t="str">
        <f>_xlfn.XLOOKUP(Export[[#This Row],[store]],Table2[store '#],Table2[Franchise])</f>
        <v>Tacoma</v>
      </c>
      <c r="C260">
        <v>2612</v>
      </c>
      <c r="D260" t="s">
        <v>21</v>
      </c>
      <c r="E260" t="s">
        <v>22</v>
      </c>
      <c r="F260" s="4">
        <v>15.99</v>
      </c>
      <c r="G260" s="4">
        <v>15.99</v>
      </c>
    </row>
    <row r="261" spans="2:7" hidden="1" x14ac:dyDescent="0.25">
      <c r="B261" t="str">
        <f>_xlfn.XLOOKUP(Export[[#This Row],[store]],Table2[store '#],Table2[Franchise])</f>
        <v>Tacoma</v>
      </c>
      <c r="C261">
        <v>2612</v>
      </c>
      <c r="D261" t="s">
        <v>31</v>
      </c>
      <c r="E261" t="s">
        <v>32</v>
      </c>
      <c r="F261" s="4">
        <v>15.99</v>
      </c>
      <c r="G261" s="4">
        <v>15.99</v>
      </c>
    </row>
    <row r="262" spans="2:7" hidden="1" x14ac:dyDescent="0.25">
      <c r="B262" t="str">
        <f>_xlfn.XLOOKUP(Export[[#This Row],[store]],Table2[store '#],Table2[Franchise])</f>
        <v>Tacoma</v>
      </c>
      <c r="C262">
        <v>2612</v>
      </c>
      <c r="D262" t="s">
        <v>66</v>
      </c>
      <c r="E262" t="s">
        <v>67</v>
      </c>
    </row>
    <row r="263" spans="2:7" hidden="1" x14ac:dyDescent="0.25">
      <c r="B263" t="str">
        <f>_xlfn.XLOOKUP(Export[[#This Row],[store]],Table2[store '#],Table2[Franchise])</f>
        <v>Tacoma</v>
      </c>
      <c r="C263">
        <v>2612</v>
      </c>
      <c r="D263" t="s">
        <v>78</v>
      </c>
      <c r="E263" t="s">
        <v>79</v>
      </c>
      <c r="F263" s="4">
        <v>6.99</v>
      </c>
      <c r="G263" s="4">
        <v>6.99</v>
      </c>
    </row>
    <row r="264" spans="2:7" hidden="1" x14ac:dyDescent="0.25">
      <c r="B264" t="str">
        <f>_xlfn.XLOOKUP(Export[[#This Row],[store]],Table2[store '#],Table2[Franchise])</f>
        <v>Tacoma</v>
      </c>
      <c r="C264">
        <v>2612</v>
      </c>
      <c r="D264" t="s">
        <v>80</v>
      </c>
      <c r="E264" t="s">
        <v>81</v>
      </c>
      <c r="F264" s="4">
        <v>4.99</v>
      </c>
      <c r="G264" s="4">
        <v>4.99</v>
      </c>
    </row>
    <row r="265" spans="2:7" ht="30" hidden="1" x14ac:dyDescent="0.25">
      <c r="B265" t="str">
        <f>_xlfn.XLOOKUP(Export[[#This Row],[store]],Table2[store '#],Table2[Franchise])</f>
        <v>Tacoma</v>
      </c>
      <c r="C265">
        <v>2612</v>
      </c>
      <c r="D265" t="s">
        <v>62</v>
      </c>
      <c r="E265" s="6" t="s">
        <v>63</v>
      </c>
    </row>
    <row r="266" spans="2:7" hidden="1" x14ac:dyDescent="0.25">
      <c r="B266" t="str">
        <f>_xlfn.XLOOKUP(Export[[#This Row],[store]],Table2[store '#],Table2[Franchise])</f>
        <v>Tacoma</v>
      </c>
      <c r="C266">
        <v>2687</v>
      </c>
      <c r="D266" t="s">
        <v>76</v>
      </c>
      <c r="E266" t="s">
        <v>77</v>
      </c>
      <c r="F266" s="4">
        <v>13.99</v>
      </c>
      <c r="G266" s="4">
        <v>13.99</v>
      </c>
    </row>
    <row r="267" spans="2:7" hidden="1" x14ac:dyDescent="0.25">
      <c r="B267" t="str">
        <f>_xlfn.XLOOKUP(Export[[#This Row],[store]],Table2[store '#],Table2[Franchise])</f>
        <v>Tacoma</v>
      </c>
      <c r="C267">
        <v>2687</v>
      </c>
      <c r="D267" t="s">
        <v>6</v>
      </c>
      <c r="E267" t="s">
        <v>61</v>
      </c>
      <c r="F267" s="4">
        <v>6.99</v>
      </c>
      <c r="G267" s="4">
        <v>6.99</v>
      </c>
    </row>
    <row r="268" spans="2:7" hidden="1" x14ac:dyDescent="0.25">
      <c r="B268" t="str">
        <f>_xlfn.XLOOKUP(Export[[#This Row],[store]],Table2[store '#],Table2[Franchise])</f>
        <v>Tacoma</v>
      </c>
      <c r="C268">
        <v>2687</v>
      </c>
      <c r="D268" t="s">
        <v>17</v>
      </c>
      <c r="E268" t="s">
        <v>18</v>
      </c>
      <c r="F268" s="4">
        <v>9.99</v>
      </c>
      <c r="G268" s="4">
        <v>9.99</v>
      </c>
    </row>
    <row r="269" spans="2:7" hidden="1" x14ac:dyDescent="0.25">
      <c r="B269" t="str">
        <f>_xlfn.XLOOKUP(Export[[#This Row],[store]],Table2[store '#],Table2[Franchise])</f>
        <v>Tacoma</v>
      </c>
      <c r="C269">
        <v>2687</v>
      </c>
      <c r="D269" t="s">
        <v>19</v>
      </c>
      <c r="E269" t="s">
        <v>20</v>
      </c>
      <c r="F269" s="4">
        <v>12.99</v>
      </c>
      <c r="G269" s="4">
        <v>12.99</v>
      </c>
    </row>
    <row r="270" spans="2:7" hidden="1" x14ac:dyDescent="0.25">
      <c r="B270" t="str">
        <f>_xlfn.XLOOKUP(Export[[#This Row],[store]],Table2[store '#],Table2[Franchise])</f>
        <v>Tacoma</v>
      </c>
      <c r="C270">
        <v>2687</v>
      </c>
      <c r="D270" t="s">
        <v>25</v>
      </c>
      <c r="E270" t="s">
        <v>26</v>
      </c>
      <c r="F270" s="4">
        <v>15.99</v>
      </c>
      <c r="G270" s="4">
        <v>15.99</v>
      </c>
    </row>
    <row r="271" spans="2:7" hidden="1" x14ac:dyDescent="0.25">
      <c r="B271" t="str">
        <f>_xlfn.XLOOKUP(Export[[#This Row],[store]],Table2[store '#],Table2[Franchise])</f>
        <v>Tacoma</v>
      </c>
      <c r="C271">
        <v>2687</v>
      </c>
      <c r="D271" t="s">
        <v>23</v>
      </c>
      <c r="E271" t="s">
        <v>24</v>
      </c>
      <c r="F271" s="5">
        <v>10</v>
      </c>
      <c r="G271" s="5">
        <v>10</v>
      </c>
    </row>
    <row r="272" spans="2:7" hidden="1" x14ac:dyDescent="0.25">
      <c r="B272" t="str">
        <f>_xlfn.XLOOKUP(Export[[#This Row],[store]],Table2[store '#],Table2[Franchise])</f>
        <v>Tacoma</v>
      </c>
      <c r="C272">
        <v>2687</v>
      </c>
      <c r="D272" t="s">
        <v>29</v>
      </c>
      <c r="E272" t="s">
        <v>30</v>
      </c>
      <c r="F272" s="4">
        <v>25.99</v>
      </c>
      <c r="G272" s="4">
        <v>25.99</v>
      </c>
    </row>
    <row r="273" spans="2:7" hidden="1" x14ac:dyDescent="0.25">
      <c r="B273" t="str">
        <f>_xlfn.XLOOKUP(Export[[#This Row],[store]],Table2[store '#],Table2[Franchise])</f>
        <v>Tacoma</v>
      </c>
      <c r="C273">
        <v>2687</v>
      </c>
      <c r="D273" t="s">
        <v>27</v>
      </c>
      <c r="E273" t="s">
        <v>28</v>
      </c>
      <c r="F273" s="4">
        <v>18.989999999999998</v>
      </c>
      <c r="G273" s="4">
        <v>18.989999999999998</v>
      </c>
    </row>
    <row r="274" spans="2:7" hidden="1" x14ac:dyDescent="0.25">
      <c r="B274" t="str">
        <f>_xlfn.XLOOKUP(Export[[#This Row],[store]],Table2[store '#],Table2[Franchise])</f>
        <v>Tacoma</v>
      </c>
      <c r="C274">
        <v>2687</v>
      </c>
      <c r="D274" t="s">
        <v>33</v>
      </c>
      <c r="E274" t="s">
        <v>34</v>
      </c>
      <c r="F274" s="4">
        <v>29.99</v>
      </c>
      <c r="G274" s="4">
        <v>29.99</v>
      </c>
    </row>
    <row r="275" spans="2:7" hidden="1" x14ac:dyDescent="0.25">
      <c r="B275" t="str">
        <f>_xlfn.XLOOKUP(Export[[#This Row],[store]],Table2[store '#],Table2[Franchise])</f>
        <v>Tacoma</v>
      </c>
      <c r="C275">
        <v>2687</v>
      </c>
      <c r="D275" t="s">
        <v>21</v>
      </c>
      <c r="E275" t="s">
        <v>22</v>
      </c>
      <c r="F275" s="4">
        <v>15.99</v>
      </c>
      <c r="G275" s="4">
        <v>15.99</v>
      </c>
    </row>
    <row r="276" spans="2:7" hidden="1" x14ac:dyDescent="0.25">
      <c r="B276" t="str">
        <f>_xlfn.XLOOKUP(Export[[#This Row],[store]],Table2[store '#],Table2[Franchise])</f>
        <v>Tacoma</v>
      </c>
      <c r="C276">
        <v>2687</v>
      </c>
      <c r="D276" t="s">
        <v>31</v>
      </c>
      <c r="E276" t="s">
        <v>32</v>
      </c>
      <c r="F276" s="4">
        <v>15.99</v>
      </c>
      <c r="G276" s="4">
        <v>15.99</v>
      </c>
    </row>
    <row r="277" spans="2:7" hidden="1" x14ac:dyDescent="0.25">
      <c r="B277" t="str">
        <f>_xlfn.XLOOKUP(Export[[#This Row],[store]],Table2[store '#],Table2[Franchise])</f>
        <v>Tacoma</v>
      </c>
      <c r="C277">
        <v>2687</v>
      </c>
      <c r="D277" t="s">
        <v>66</v>
      </c>
      <c r="E277" t="s">
        <v>67</v>
      </c>
    </row>
    <row r="278" spans="2:7" hidden="1" x14ac:dyDescent="0.25">
      <c r="B278" t="str">
        <f>_xlfn.XLOOKUP(Export[[#This Row],[store]],Table2[store '#],Table2[Franchise])</f>
        <v>Tacoma</v>
      </c>
      <c r="C278">
        <v>2687</v>
      </c>
      <c r="D278" t="s">
        <v>78</v>
      </c>
      <c r="E278" t="s">
        <v>79</v>
      </c>
      <c r="F278" s="4">
        <v>6.99</v>
      </c>
      <c r="G278" s="4">
        <v>6.99</v>
      </c>
    </row>
    <row r="279" spans="2:7" hidden="1" x14ac:dyDescent="0.25">
      <c r="B279" t="str">
        <f>_xlfn.XLOOKUP(Export[[#This Row],[store]],Table2[store '#],Table2[Franchise])</f>
        <v>Tacoma</v>
      </c>
      <c r="C279">
        <v>2687</v>
      </c>
      <c r="D279" t="s">
        <v>80</v>
      </c>
      <c r="E279" t="s">
        <v>81</v>
      </c>
      <c r="F279" s="4">
        <v>4.99</v>
      </c>
      <c r="G279" s="4">
        <v>4.99</v>
      </c>
    </row>
    <row r="280" spans="2:7" ht="30" hidden="1" x14ac:dyDescent="0.25">
      <c r="B280" t="str">
        <f>_xlfn.XLOOKUP(Export[[#This Row],[store]],Table2[store '#],Table2[Franchise])</f>
        <v>Tacoma</v>
      </c>
      <c r="C280">
        <v>2687</v>
      </c>
      <c r="D280" t="s">
        <v>62</v>
      </c>
      <c r="E280" s="6" t="s">
        <v>63</v>
      </c>
    </row>
    <row r="281" spans="2:7" hidden="1" x14ac:dyDescent="0.25">
      <c r="B281" t="str">
        <f>_xlfn.XLOOKUP(Export[[#This Row],[store]],Table2[store '#],Table2[Franchise])</f>
        <v>Tacoma</v>
      </c>
      <c r="C281">
        <v>2921</v>
      </c>
      <c r="D281" t="s">
        <v>76</v>
      </c>
      <c r="E281" t="s">
        <v>77</v>
      </c>
      <c r="F281" s="4">
        <v>13.99</v>
      </c>
      <c r="G281" s="4">
        <v>13.99</v>
      </c>
    </row>
    <row r="282" spans="2:7" hidden="1" x14ac:dyDescent="0.25">
      <c r="B282" t="str">
        <f>_xlfn.XLOOKUP(Export[[#This Row],[store]],Table2[store '#],Table2[Franchise])</f>
        <v>Tacoma</v>
      </c>
      <c r="C282">
        <v>2921</v>
      </c>
      <c r="D282" t="s">
        <v>6</v>
      </c>
      <c r="E282" t="s">
        <v>61</v>
      </c>
      <c r="F282" s="4">
        <v>6.99</v>
      </c>
      <c r="G282" s="4">
        <v>6.99</v>
      </c>
    </row>
    <row r="283" spans="2:7" hidden="1" x14ac:dyDescent="0.25">
      <c r="B283" t="str">
        <f>_xlfn.XLOOKUP(Export[[#This Row],[store]],Table2[store '#],Table2[Franchise])</f>
        <v>Tacoma</v>
      </c>
      <c r="C283">
        <v>2921</v>
      </c>
      <c r="D283" t="s">
        <v>17</v>
      </c>
      <c r="E283" t="s">
        <v>18</v>
      </c>
      <c r="F283" s="4">
        <v>9.99</v>
      </c>
      <c r="G283" s="4">
        <v>9.99</v>
      </c>
    </row>
    <row r="284" spans="2:7" hidden="1" x14ac:dyDescent="0.25">
      <c r="B284" t="str">
        <f>_xlfn.XLOOKUP(Export[[#This Row],[store]],Table2[store '#],Table2[Franchise])</f>
        <v>Tacoma</v>
      </c>
      <c r="C284">
        <v>2921</v>
      </c>
      <c r="D284" t="s">
        <v>19</v>
      </c>
      <c r="E284" t="s">
        <v>20</v>
      </c>
      <c r="F284" s="4">
        <v>12.99</v>
      </c>
      <c r="G284" s="4">
        <v>12.99</v>
      </c>
    </row>
    <row r="285" spans="2:7" hidden="1" x14ac:dyDescent="0.25">
      <c r="B285" t="str">
        <f>_xlfn.XLOOKUP(Export[[#This Row],[store]],Table2[store '#],Table2[Franchise])</f>
        <v>Tacoma</v>
      </c>
      <c r="C285">
        <v>2921</v>
      </c>
      <c r="D285" t="s">
        <v>25</v>
      </c>
      <c r="E285" t="s">
        <v>26</v>
      </c>
      <c r="F285" s="4">
        <v>15.99</v>
      </c>
      <c r="G285" s="4">
        <v>15.99</v>
      </c>
    </row>
    <row r="286" spans="2:7" hidden="1" x14ac:dyDescent="0.25">
      <c r="B286" t="str">
        <f>_xlfn.XLOOKUP(Export[[#This Row],[store]],Table2[store '#],Table2[Franchise])</f>
        <v>Tacoma</v>
      </c>
      <c r="C286">
        <v>2921</v>
      </c>
      <c r="D286" t="s">
        <v>23</v>
      </c>
      <c r="E286" t="s">
        <v>24</v>
      </c>
      <c r="F286" s="5">
        <v>10</v>
      </c>
      <c r="G286" s="5">
        <v>10</v>
      </c>
    </row>
    <row r="287" spans="2:7" hidden="1" x14ac:dyDescent="0.25">
      <c r="B287" t="str">
        <f>_xlfn.XLOOKUP(Export[[#This Row],[store]],Table2[store '#],Table2[Franchise])</f>
        <v>Tacoma</v>
      </c>
      <c r="C287">
        <v>2921</v>
      </c>
      <c r="D287" t="s">
        <v>29</v>
      </c>
      <c r="E287" t="s">
        <v>30</v>
      </c>
      <c r="F287" s="4">
        <v>25.99</v>
      </c>
      <c r="G287" s="4">
        <v>25.99</v>
      </c>
    </row>
    <row r="288" spans="2:7" hidden="1" x14ac:dyDescent="0.25">
      <c r="B288" t="str">
        <f>_xlfn.XLOOKUP(Export[[#This Row],[store]],Table2[store '#],Table2[Franchise])</f>
        <v>Tacoma</v>
      </c>
      <c r="C288">
        <v>2921</v>
      </c>
      <c r="D288" t="s">
        <v>27</v>
      </c>
      <c r="E288" t="s">
        <v>28</v>
      </c>
      <c r="F288" s="4">
        <v>18.989999999999998</v>
      </c>
      <c r="G288" s="4">
        <v>18.989999999999998</v>
      </c>
    </row>
    <row r="289" spans="2:7" hidden="1" x14ac:dyDescent="0.25">
      <c r="B289" t="str">
        <f>_xlfn.XLOOKUP(Export[[#This Row],[store]],Table2[store '#],Table2[Franchise])</f>
        <v>Tacoma</v>
      </c>
      <c r="C289">
        <v>2921</v>
      </c>
      <c r="D289" t="s">
        <v>33</v>
      </c>
      <c r="E289" t="s">
        <v>34</v>
      </c>
      <c r="F289" s="4">
        <v>29.99</v>
      </c>
      <c r="G289" s="4">
        <v>29.99</v>
      </c>
    </row>
    <row r="290" spans="2:7" hidden="1" x14ac:dyDescent="0.25">
      <c r="B290" t="str">
        <f>_xlfn.XLOOKUP(Export[[#This Row],[store]],Table2[store '#],Table2[Franchise])</f>
        <v>Tacoma</v>
      </c>
      <c r="C290">
        <v>2921</v>
      </c>
      <c r="D290" t="s">
        <v>21</v>
      </c>
      <c r="E290" t="s">
        <v>22</v>
      </c>
      <c r="F290" s="4">
        <v>15.99</v>
      </c>
      <c r="G290" s="4">
        <v>15.99</v>
      </c>
    </row>
    <row r="291" spans="2:7" hidden="1" x14ac:dyDescent="0.25">
      <c r="B291" t="str">
        <f>_xlfn.XLOOKUP(Export[[#This Row],[store]],Table2[store '#],Table2[Franchise])</f>
        <v>Tacoma</v>
      </c>
      <c r="C291">
        <v>2921</v>
      </c>
      <c r="D291" t="s">
        <v>31</v>
      </c>
      <c r="E291" t="s">
        <v>32</v>
      </c>
      <c r="F291" s="4">
        <v>15.99</v>
      </c>
      <c r="G291" s="4">
        <v>15.99</v>
      </c>
    </row>
    <row r="292" spans="2:7" hidden="1" x14ac:dyDescent="0.25">
      <c r="B292" t="str">
        <f>_xlfn.XLOOKUP(Export[[#This Row],[store]],Table2[store '#],Table2[Franchise])</f>
        <v>Tacoma</v>
      </c>
      <c r="C292">
        <v>2921</v>
      </c>
      <c r="D292" t="s">
        <v>66</v>
      </c>
      <c r="E292" t="s">
        <v>67</v>
      </c>
    </row>
    <row r="293" spans="2:7" hidden="1" x14ac:dyDescent="0.25">
      <c r="B293" t="str">
        <f>_xlfn.XLOOKUP(Export[[#This Row],[store]],Table2[store '#],Table2[Franchise])</f>
        <v>Tacoma</v>
      </c>
      <c r="C293">
        <v>2921</v>
      </c>
      <c r="D293" t="s">
        <v>78</v>
      </c>
      <c r="E293" t="s">
        <v>79</v>
      </c>
      <c r="F293" s="4">
        <v>6.99</v>
      </c>
      <c r="G293" s="4">
        <v>6.99</v>
      </c>
    </row>
    <row r="294" spans="2:7" hidden="1" x14ac:dyDescent="0.25">
      <c r="B294" t="str">
        <f>_xlfn.XLOOKUP(Export[[#This Row],[store]],Table2[store '#],Table2[Franchise])</f>
        <v>Tacoma</v>
      </c>
      <c r="C294">
        <v>2921</v>
      </c>
      <c r="D294" t="s">
        <v>80</v>
      </c>
      <c r="E294" t="s">
        <v>81</v>
      </c>
      <c r="F294" s="4">
        <v>4.99</v>
      </c>
      <c r="G294" s="4">
        <v>4.99</v>
      </c>
    </row>
    <row r="295" spans="2:7" ht="30" hidden="1" x14ac:dyDescent="0.25">
      <c r="B295" t="str">
        <f>_xlfn.XLOOKUP(Export[[#This Row],[store]],Table2[store '#],Table2[Franchise])</f>
        <v>Tacoma</v>
      </c>
      <c r="C295">
        <v>2921</v>
      </c>
      <c r="D295" t="s">
        <v>62</v>
      </c>
      <c r="E295" s="6" t="s">
        <v>63</v>
      </c>
    </row>
    <row r="296" spans="2:7" hidden="1" x14ac:dyDescent="0.25">
      <c r="B296" t="str">
        <f>_xlfn.XLOOKUP(Export[[#This Row],[store]],Table2[store '#],Table2[Franchise])</f>
        <v>Tacoma</v>
      </c>
      <c r="C296">
        <v>3015</v>
      </c>
      <c r="D296" t="s">
        <v>76</v>
      </c>
      <c r="E296" t="s">
        <v>77</v>
      </c>
      <c r="F296" s="4">
        <v>13.99</v>
      </c>
      <c r="G296" s="4">
        <v>13.99</v>
      </c>
    </row>
    <row r="297" spans="2:7" hidden="1" x14ac:dyDescent="0.25">
      <c r="B297" t="str">
        <f>_xlfn.XLOOKUP(Export[[#This Row],[store]],Table2[store '#],Table2[Franchise])</f>
        <v>Tacoma</v>
      </c>
      <c r="C297">
        <v>3015</v>
      </c>
      <c r="D297" t="s">
        <v>6</v>
      </c>
      <c r="E297" t="s">
        <v>61</v>
      </c>
      <c r="F297" s="4">
        <v>6.99</v>
      </c>
      <c r="G297" s="4">
        <v>6.99</v>
      </c>
    </row>
    <row r="298" spans="2:7" hidden="1" x14ac:dyDescent="0.25">
      <c r="B298" t="str">
        <f>_xlfn.XLOOKUP(Export[[#This Row],[store]],Table2[store '#],Table2[Franchise])</f>
        <v>Tacoma</v>
      </c>
      <c r="C298">
        <v>3015</v>
      </c>
      <c r="D298" t="s">
        <v>17</v>
      </c>
      <c r="E298" t="s">
        <v>18</v>
      </c>
      <c r="F298" s="4">
        <v>9.99</v>
      </c>
      <c r="G298" s="4">
        <v>9.99</v>
      </c>
    </row>
    <row r="299" spans="2:7" hidden="1" x14ac:dyDescent="0.25">
      <c r="B299" t="str">
        <f>_xlfn.XLOOKUP(Export[[#This Row],[store]],Table2[store '#],Table2[Franchise])</f>
        <v>Tacoma</v>
      </c>
      <c r="C299">
        <v>3015</v>
      </c>
      <c r="D299" t="s">
        <v>19</v>
      </c>
      <c r="E299" t="s">
        <v>20</v>
      </c>
      <c r="F299" s="4">
        <v>12.99</v>
      </c>
      <c r="G299" s="4">
        <v>12.99</v>
      </c>
    </row>
    <row r="300" spans="2:7" hidden="1" x14ac:dyDescent="0.25">
      <c r="B300" t="str">
        <f>_xlfn.XLOOKUP(Export[[#This Row],[store]],Table2[store '#],Table2[Franchise])</f>
        <v>Tacoma</v>
      </c>
      <c r="C300">
        <v>3015</v>
      </c>
      <c r="D300" t="s">
        <v>25</v>
      </c>
      <c r="E300" t="s">
        <v>26</v>
      </c>
      <c r="F300" s="4">
        <v>15.99</v>
      </c>
      <c r="G300" s="4">
        <v>15.99</v>
      </c>
    </row>
    <row r="301" spans="2:7" hidden="1" x14ac:dyDescent="0.25">
      <c r="B301" t="str">
        <f>_xlfn.XLOOKUP(Export[[#This Row],[store]],Table2[store '#],Table2[Franchise])</f>
        <v>Tacoma</v>
      </c>
      <c r="C301">
        <v>3015</v>
      </c>
      <c r="D301" t="s">
        <v>23</v>
      </c>
      <c r="E301" t="s">
        <v>24</v>
      </c>
      <c r="F301" s="5">
        <v>10</v>
      </c>
      <c r="G301" s="5">
        <v>10</v>
      </c>
    </row>
    <row r="302" spans="2:7" hidden="1" x14ac:dyDescent="0.25">
      <c r="B302" t="str">
        <f>_xlfn.XLOOKUP(Export[[#This Row],[store]],Table2[store '#],Table2[Franchise])</f>
        <v>Tacoma</v>
      </c>
      <c r="C302">
        <v>3015</v>
      </c>
      <c r="D302" t="s">
        <v>29</v>
      </c>
      <c r="E302" t="s">
        <v>30</v>
      </c>
      <c r="F302" s="4">
        <v>25.99</v>
      </c>
      <c r="G302" s="4">
        <v>25.99</v>
      </c>
    </row>
    <row r="303" spans="2:7" hidden="1" x14ac:dyDescent="0.25">
      <c r="B303" t="str">
        <f>_xlfn.XLOOKUP(Export[[#This Row],[store]],Table2[store '#],Table2[Franchise])</f>
        <v>Tacoma</v>
      </c>
      <c r="C303">
        <v>3015</v>
      </c>
      <c r="D303" t="s">
        <v>27</v>
      </c>
      <c r="E303" t="s">
        <v>28</v>
      </c>
      <c r="F303" s="4">
        <v>18.989999999999998</v>
      </c>
      <c r="G303" s="4">
        <v>18.989999999999998</v>
      </c>
    </row>
    <row r="304" spans="2:7" hidden="1" x14ac:dyDescent="0.25">
      <c r="B304" t="str">
        <f>_xlfn.XLOOKUP(Export[[#This Row],[store]],Table2[store '#],Table2[Franchise])</f>
        <v>Tacoma</v>
      </c>
      <c r="C304">
        <v>3015</v>
      </c>
      <c r="D304" t="s">
        <v>33</v>
      </c>
      <c r="E304" t="s">
        <v>34</v>
      </c>
      <c r="F304" s="4">
        <v>29.99</v>
      </c>
      <c r="G304" s="4">
        <v>29.99</v>
      </c>
    </row>
    <row r="305" spans="2:7" hidden="1" x14ac:dyDescent="0.25">
      <c r="B305" t="str">
        <f>_xlfn.XLOOKUP(Export[[#This Row],[store]],Table2[store '#],Table2[Franchise])</f>
        <v>Tacoma</v>
      </c>
      <c r="C305">
        <v>3015</v>
      </c>
      <c r="D305" t="s">
        <v>21</v>
      </c>
      <c r="E305" t="s">
        <v>22</v>
      </c>
      <c r="F305" s="4">
        <v>15.99</v>
      </c>
      <c r="G305" s="4">
        <v>15.99</v>
      </c>
    </row>
    <row r="306" spans="2:7" hidden="1" x14ac:dyDescent="0.25">
      <c r="B306" t="str">
        <f>_xlfn.XLOOKUP(Export[[#This Row],[store]],Table2[store '#],Table2[Franchise])</f>
        <v>Tacoma</v>
      </c>
      <c r="C306">
        <v>3015</v>
      </c>
      <c r="D306" t="s">
        <v>31</v>
      </c>
      <c r="E306" t="s">
        <v>32</v>
      </c>
      <c r="F306" s="4">
        <v>15.99</v>
      </c>
      <c r="G306" s="4">
        <v>15.99</v>
      </c>
    </row>
    <row r="307" spans="2:7" hidden="1" x14ac:dyDescent="0.25">
      <c r="B307" t="str">
        <f>_xlfn.XLOOKUP(Export[[#This Row],[store]],Table2[store '#],Table2[Franchise])</f>
        <v>Tacoma</v>
      </c>
      <c r="C307">
        <v>3015</v>
      </c>
      <c r="D307" t="s">
        <v>66</v>
      </c>
      <c r="E307" t="s">
        <v>67</v>
      </c>
    </row>
    <row r="308" spans="2:7" hidden="1" x14ac:dyDescent="0.25">
      <c r="B308" t="str">
        <f>_xlfn.XLOOKUP(Export[[#This Row],[store]],Table2[store '#],Table2[Franchise])</f>
        <v>Tacoma</v>
      </c>
      <c r="C308">
        <v>3015</v>
      </c>
      <c r="D308" t="s">
        <v>78</v>
      </c>
      <c r="E308" t="s">
        <v>79</v>
      </c>
      <c r="F308" s="4">
        <v>6.99</v>
      </c>
      <c r="G308" s="4">
        <v>6.99</v>
      </c>
    </row>
    <row r="309" spans="2:7" hidden="1" x14ac:dyDescent="0.25">
      <c r="B309" t="str">
        <f>_xlfn.XLOOKUP(Export[[#This Row],[store]],Table2[store '#],Table2[Franchise])</f>
        <v>Tacoma</v>
      </c>
      <c r="C309">
        <v>3015</v>
      </c>
      <c r="D309" t="s">
        <v>80</v>
      </c>
      <c r="E309" t="s">
        <v>81</v>
      </c>
      <c r="F309" s="4">
        <v>4.99</v>
      </c>
      <c r="G309" s="4">
        <v>4.99</v>
      </c>
    </row>
    <row r="310" spans="2:7" ht="30" hidden="1" x14ac:dyDescent="0.25">
      <c r="B310" t="str">
        <f>_xlfn.XLOOKUP(Export[[#This Row],[store]],Table2[store '#],Table2[Franchise])</f>
        <v>Tacoma</v>
      </c>
      <c r="C310">
        <v>3015</v>
      </c>
      <c r="D310" t="s">
        <v>62</v>
      </c>
      <c r="E310" s="6" t="s">
        <v>63</v>
      </c>
    </row>
    <row r="311" spans="2:7" hidden="1" x14ac:dyDescent="0.25">
      <c r="B311" t="str">
        <f>_xlfn.XLOOKUP(Export[[#This Row],[store]],Table2[store '#],Table2[Franchise])</f>
        <v>Tacoma</v>
      </c>
      <c r="C311">
        <v>4405</v>
      </c>
      <c r="D311" t="s">
        <v>76</v>
      </c>
      <c r="E311" t="s">
        <v>77</v>
      </c>
      <c r="F311" s="4">
        <v>13.99</v>
      </c>
      <c r="G311" s="4">
        <v>13.99</v>
      </c>
    </row>
    <row r="312" spans="2:7" hidden="1" x14ac:dyDescent="0.25">
      <c r="B312" t="str">
        <f>_xlfn.XLOOKUP(Export[[#This Row],[store]],Table2[store '#],Table2[Franchise])</f>
        <v>Tacoma</v>
      </c>
      <c r="C312">
        <v>4405</v>
      </c>
      <c r="D312" t="s">
        <v>6</v>
      </c>
      <c r="E312" t="s">
        <v>61</v>
      </c>
      <c r="F312" s="4">
        <v>6.99</v>
      </c>
      <c r="G312" s="4">
        <v>6.99</v>
      </c>
    </row>
    <row r="313" spans="2:7" hidden="1" x14ac:dyDescent="0.25">
      <c r="B313" t="str">
        <f>_xlfn.XLOOKUP(Export[[#This Row],[store]],Table2[store '#],Table2[Franchise])</f>
        <v>Tacoma</v>
      </c>
      <c r="C313">
        <v>4405</v>
      </c>
      <c r="D313" t="s">
        <v>17</v>
      </c>
      <c r="E313" t="s">
        <v>18</v>
      </c>
      <c r="F313" s="4">
        <v>9.99</v>
      </c>
      <c r="G313" s="4">
        <v>9.99</v>
      </c>
    </row>
    <row r="314" spans="2:7" hidden="1" x14ac:dyDescent="0.25">
      <c r="B314" t="str">
        <f>_xlfn.XLOOKUP(Export[[#This Row],[store]],Table2[store '#],Table2[Franchise])</f>
        <v>Tacoma</v>
      </c>
      <c r="C314">
        <v>4405</v>
      </c>
      <c r="D314" t="s">
        <v>19</v>
      </c>
      <c r="E314" t="s">
        <v>20</v>
      </c>
      <c r="F314" s="4">
        <v>12.99</v>
      </c>
      <c r="G314" s="4">
        <v>12.99</v>
      </c>
    </row>
    <row r="315" spans="2:7" hidden="1" x14ac:dyDescent="0.25">
      <c r="B315" t="str">
        <f>_xlfn.XLOOKUP(Export[[#This Row],[store]],Table2[store '#],Table2[Franchise])</f>
        <v>Tacoma</v>
      </c>
      <c r="C315">
        <v>4405</v>
      </c>
      <c r="D315" t="s">
        <v>25</v>
      </c>
      <c r="E315" t="s">
        <v>26</v>
      </c>
      <c r="F315" s="4">
        <v>15.99</v>
      </c>
      <c r="G315" s="4">
        <v>15.99</v>
      </c>
    </row>
    <row r="316" spans="2:7" hidden="1" x14ac:dyDescent="0.25">
      <c r="B316" t="str">
        <f>_xlfn.XLOOKUP(Export[[#This Row],[store]],Table2[store '#],Table2[Franchise])</f>
        <v>Tacoma</v>
      </c>
      <c r="C316">
        <v>4405</v>
      </c>
      <c r="D316" t="s">
        <v>23</v>
      </c>
      <c r="E316" t="s">
        <v>24</v>
      </c>
      <c r="F316" s="5">
        <v>10</v>
      </c>
      <c r="G316" s="5">
        <v>10</v>
      </c>
    </row>
    <row r="317" spans="2:7" hidden="1" x14ac:dyDescent="0.25">
      <c r="B317" t="str">
        <f>_xlfn.XLOOKUP(Export[[#This Row],[store]],Table2[store '#],Table2[Franchise])</f>
        <v>Tacoma</v>
      </c>
      <c r="C317">
        <v>4405</v>
      </c>
      <c r="D317" t="s">
        <v>29</v>
      </c>
      <c r="E317" t="s">
        <v>30</v>
      </c>
      <c r="F317" s="4">
        <v>25.99</v>
      </c>
      <c r="G317" s="4">
        <v>25.99</v>
      </c>
    </row>
    <row r="318" spans="2:7" hidden="1" x14ac:dyDescent="0.25">
      <c r="B318" t="str">
        <f>_xlfn.XLOOKUP(Export[[#This Row],[store]],Table2[store '#],Table2[Franchise])</f>
        <v>Tacoma</v>
      </c>
      <c r="C318">
        <v>4405</v>
      </c>
      <c r="D318" t="s">
        <v>27</v>
      </c>
      <c r="E318" t="s">
        <v>28</v>
      </c>
      <c r="F318" s="4">
        <v>18.989999999999998</v>
      </c>
      <c r="G318" s="4">
        <v>18.989999999999998</v>
      </c>
    </row>
    <row r="319" spans="2:7" hidden="1" x14ac:dyDescent="0.25">
      <c r="B319" t="str">
        <f>_xlfn.XLOOKUP(Export[[#This Row],[store]],Table2[store '#],Table2[Franchise])</f>
        <v>Tacoma</v>
      </c>
      <c r="C319">
        <v>4405</v>
      </c>
      <c r="D319" t="s">
        <v>33</v>
      </c>
      <c r="E319" t="s">
        <v>34</v>
      </c>
      <c r="F319" s="4">
        <v>29.99</v>
      </c>
      <c r="G319" s="4">
        <v>29.99</v>
      </c>
    </row>
    <row r="320" spans="2:7" hidden="1" x14ac:dyDescent="0.25">
      <c r="B320" t="str">
        <f>_xlfn.XLOOKUP(Export[[#This Row],[store]],Table2[store '#],Table2[Franchise])</f>
        <v>Tacoma</v>
      </c>
      <c r="C320">
        <v>4405</v>
      </c>
      <c r="D320" t="s">
        <v>21</v>
      </c>
      <c r="E320" t="s">
        <v>22</v>
      </c>
      <c r="F320" s="4">
        <v>15.99</v>
      </c>
      <c r="G320" s="4">
        <v>15.99</v>
      </c>
    </row>
    <row r="321" spans="2:7" hidden="1" x14ac:dyDescent="0.25">
      <c r="B321" t="str">
        <f>_xlfn.XLOOKUP(Export[[#This Row],[store]],Table2[store '#],Table2[Franchise])</f>
        <v>Tacoma</v>
      </c>
      <c r="C321">
        <v>4405</v>
      </c>
      <c r="D321" t="s">
        <v>31</v>
      </c>
      <c r="E321" t="s">
        <v>32</v>
      </c>
      <c r="F321" s="4">
        <v>15.99</v>
      </c>
      <c r="G321" s="4">
        <v>15.99</v>
      </c>
    </row>
    <row r="322" spans="2:7" hidden="1" x14ac:dyDescent="0.25">
      <c r="B322" t="str">
        <f>_xlfn.XLOOKUP(Export[[#This Row],[store]],Table2[store '#],Table2[Franchise])</f>
        <v>Tacoma</v>
      </c>
      <c r="C322">
        <v>4405</v>
      </c>
      <c r="D322" t="s">
        <v>66</v>
      </c>
      <c r="E322" t="s">
        <v>67</v>
      </c>
    </row>
    <row r="323" spans="2:7" hidden="1" x14ac:dyDescent="0.25">
      <c r="B323" t="str">
        <f>_xlfn.XLOOKUP(Export[[#This Row],[store]],Table2[store '#],Table2[Franchise])</f>
        <v>Tacoma</v>
      </c>
      <c r="C323">
        <v>4405</v>
      </c>
      <c r="D323" t="s">
        <v>78</v>
      </c>
      <c r="E323" t="s">
        <v>79</v>
      </c>
      <c r="F323" s="4">
        <v>6.99</v>
      </c>
      <c r="G323" s="4">
        <v>6.99</v>
      </c>
    </row>
    <row r="324" spans="2:7" hidden="1" x14ac:dyDescent="0.25">
      <c r="B324" t="str">
        <f>_xlfn.XLOOKUP(Export[[#This Row],[store]],Table2[store '#],Table2[Franchise])</f>
        <v>Tacoma</v>
      </c>
      <c r="C324">
        <v>4405</v>
      </c>
      <c r="D324" t="s">
        <v>80</v>
      </c>
      <c r="E324" t="s">
        <v>81</v>
      </c>
      <c r="F324" s="4">
        <v>4.99</v>
      </c>
      <c r="G324" s="4">
        <v>4.99</v>
      </c>
    </row>
    <row r="325" spans="2:7" ht="30" hidden="1" x14ac:dyDescent="0.25">
      <c r="B325" t="str">
        <f>_xlfn.XLOOKUP(Export[[#This Row],[store]],Table2[store '#],Table2[Franchise])</f>
        <v>Tacoma</v>
      </c>
      <c r="C325">
        <v>4405</v>
      </c>
      <c r="D325" t="s">
        <v>62</v>
      </c>
      <c r="E325" s="6" t="s">
        <v>63</v>
      </c>
    </row>
    <row r="326" spans="2:7" hidden="1" x14ac:dyDescent="0.25">
      <c r="B326" t="str">
        <f>_xlfn.XLOOKUP(Export[[#This Row],[store]],Table2[store '#],Table2[Franchise])</f>
        <v>Tacoma</v>
      </c>
      <c r="C326">
        <v>5293</v>
      </c>
      <c r="D326" t="s">
        <v>76</v>
      </c>
      <c r="E326" t="s">
        <v>77</v>
      </c>
      <c r="F326" s="4">
        <v>13.99</v>
      </c>
      <c r="G326" s="4">
        <v>13.99</v>
      </c>
    </row>
    <row r="327" spans="2:7" hidden="1" x14ac:dyDescent="0.25">
      <c r="B327" t="str">
        <f>_xlfn.XLOOKUP(Export[[#This Row],[store]],Table2[store '#],Table2[Franchise])</f>
        <v>Tacoma</v>
      </c>
      <c r="C327">
        <v>5293</v>
      </c>
      <c r="D327" t="s">
        <v>6</v>
      </c>
      <c r="E327" t="s">
        <v>61</v>
      </c>
      <c r="F327" s="4">
        <v>6.99</v>
      </c>
      <c r="G327" s="4">
        <v>6.99</v>
      </c>
    </row>
    <row r="328" spans="2:7" hidden="1" x14ac:dyDescent="0.25">
      <c r="B328" t="str">
        <f>_xlfn.XLOOKUP(Export[[#This Row],[store]],Table2[store '#],Table2[Franchise])</f>
        <v>Tacoma</v>
      </c>
      <c r="C328">
        <v>5293</v>
      </c>
      <c r="D328" t="s">
        <v>17</v>
      </c>
      <c r="E328" t="s">
        <v>18</v>
      </c>
      <c r="F328" s="4">
        <v>9.99</v>
      </c>
      <c r="G328" s="4">
        <v>9.99</v>
      </c>
    </row>
    <row r="329" spans="2:7" hidden="1" x14ac:dyDescent="0.25">
      <c r="B329" t="str">
        <f>_xlfn.XLOOKUP(Export[[#This Row],[store]],Table2[store '#],Table2[Franchise])</f>
        <v>Tacoma</v>
      </c>
      <c r="C329">
        <v>5293</v>
      </c>
      <c r="D329" t="s">
        <v>19</v>
      </c>
      <c r="E329" t="s">
        <v>20</v>
      </c>
      <c r="F329" s="4">
        <v>12.99</v>
      </c>
      <c r="G329" s="4">
        <v>12.99</v>
      </c>
    </row>
    <row r="330" spans="2:7" hidden="1" x14ac:dyDescent="0.25">
      <c r="B330" t="str">
        <f>_xlfn.XLOOKUP(Export[[#This Row],[store]],Table2[store '#],Table2[Franchise])</f>
        <v>Tacoma</v>
      </c>
      <c r="C330">
        <v>5293</v>
      </c>
      <c r="D330" t="s">
        <v>25</v>
      </c>
      <c r="E330" t="s">
        <v>26</v>
      </c>
      <c r="F330" s="4">
        <v>15.99</v>
      </c>
      <c r="G330" s="4">
        <v>15.99</v>
      </c>
    </row>
    <row r="331" spans="2:7" hidden="1" x14ac:dyDescent="0.25">
      <c r="B331" t="str">
        <f>_xlfn.XLOOKUP(Export[[#This Row],[store]],Table2[store '#],Table2[Franchise])</f>
        <v>Tacoma</v>
      </c>
      <c r="C331">
        <v>5293</v>
      </c>
      <c r="D331" t="s">
        <v>23</v>
      </c>
      <c r="E331" t="s">
        <v>24</v>
      </c>
      <c r="F331" s="5">
        <v>10</v>
      </c>
      <c r="G331" s="5">
        <v>10</v>
      </c>
    </row>
    <row r="332" spans="2:7" hidden="1" x14ac:dyDescent="0.25">
      <c r="B332" t="str">
        <f>_xlfn.XLOOKUP(Export[[#This Row],[store]],Table2[store '#],Table2[Franchise])</f>
        <v>Tacoma</v>
      </c>
      <c r="C332">
        <v>5293</v>
      </c>
      <c r="D332" t="s">
        <v>29</v>
      </c>
      <c r="E332" t="s">
        <v>30</v>
      </c>
      <c r="F332" s="4">
        <v>25.99</v>
      </c>
      <c r="G332" s="4">
        <v>25.99</v>
      </c>
    </row>
    <row r="333" spans="2:7" hidden="1" x14ac:dyDescent="0.25">
      <c r="B333" t="str">
        <f>_xlfn.XLOOKUP(Export[[#This Row],[store]],Table2[store '#],Table2[Franchise])</f>
        <v>Tacoma</v>
      </c>
      <c r="C333">
        <v>5293</v>
      </c>
      <c r="D333" t="s">
        <v>27</v>
      </c>
      <c r="E333" t="s">
        <v>28</v>
      </c>
      <c r="F333" s="4">
        <v>18.989999999999998</v>
      </c>
      <c r="G333" s="4">
        <v>18.989999999999998</v>
      </c>
    </row>
    <row r="334" spans="2:7" hidden="1" x14ac:dyDescent="0.25">
      <c r="B334" t="str">
        <f>_xlfn.XLOOKUP(Export[[#This Row],[store]],Table2[store '#],Table2[Franchise])</f>
        <v>Tacoma</v>
      </c>
      <c r="C334">
        <v>5293</v>
      </c>
      <c r="D334" t="s">
        <v>33</v>
      </c>
      <c r="E334" t="s">
        <v>34</v>
      </c>
      <c r="F334" s="4">
        <v>29.99</v>
      </c>
      <c r="G334" s="4">
        <v>29.99</v>
      </c>
    </row>
    <row r="335" spans="2:7" hidden="1" x14ac:dyDescent="0.25">
      <c r="B335" t="str">
        <f>_xlfn.XLOOKUP(Export[[#This Row],[store]],Table2[store '#],Table2[Franchise])</f>
        <v>Tacoma</v>
      </c>
      <c r="C335">
        <v>5293</v>
      </c>
      <c r="D335" t="s">
        <v>21</v>
      </c>
      <c r="E335" t="s">
        <v>22</v>
      </c>
      <c r="F335" s="4">
        <v>15.99</v>
      </c>
      <c r="G335" s="4">
        <v>15.99</v>
      </c>
    </row>
    <row r="336" spans="2:7" hidden="1" x14ac:dyDescent="0.25">
      <c r="B336" t="str">
        <f>_xlfn.XLOOKUP(Export[[#This Row],[store]],Table2[store '#],Table2[Franchise])</f>
        <v>Tacoma</v>
      </c>
      <c r="C336">
        <v>5293</v>
      </c>
      <c r="D336" t="s">
        <v>31</v>
      </c>
      <c r="E336" t="s">
        <v>32</v>
      </c>
      <c r="F336" s="4">
        <v>15.99</v>
      </c>
      <c r="G336" s="4">
        <v>15.99</v>
      </c>
    </row>
    <row r="337" spans="2:7" hidden="1" x14ac:dyDescent="0.25">
      <c r="B337" t="str">
        <f>_xlfn.XLOOKUP(Export[[#This Row],[store]],Table2[store '#],Table2[Franchise])</f>
        <v>Tacoma</v>
      </c>
      <c r="C337">
        <v>5293</v>
      </c>
      <c r="D337" t="s">
        <v>66</v>
      </c>
      <c r="E337" t="s">
        <v>67</v>
      </c>
    </row>
    <row r="338" spans="2:7" hidden="1" x14ac:dyDescent="0.25">
      <c r="B338" t="str">
        <f>_xlfn.XLOOKUP(Export[[#This Row],[store]],Table2[store '#],Table2[Franchise])</f>
        <v>Tacoma</v>
      </c>
      <c r="C338">
        <v>5293</v>
      </c>
      <c r="D338" t="s">
        <v>78</v>
      </c>
      <c r="E338" t="s">
        <v>79</v>
      </c>
      <c r="F338" s="4">
        <v>6.99</v>
      </c>
      <c r="G338" s="4">
        <v>6.99</v>
      </c>
    </row>
    <row r="339" spans="2:7" hidden="1" x14ac:dyDescent="0.25">
      <c r="B339" t="str">
        <f>_xlfn.XLOOKUP(Export[[#This Row],[store]],Table2[store '#],Table2[Franchise])</f>
        <v>Tacoma</v>
      </c>
      <c r="C339">
        <v>5293</v>
      </c>
      <c r="D339" t="s">
        <v>80</v>
      </c>
      <c r="E339" t="s">
        <v>81</v>
      </c>
      <c r="F339" s="4">
        <v>4.99</v>
      </c>
      <c r="G339" s="4">
        <v>4.99</v>
      </c>
    </row>
    <row r="340" spans="2:7" ht="30" hidden="1" x14ac:dyDescent="0.25">
      <c r="B340" t="str">
        <f>_xlfn.XLOOKUP(Export[[#This Row],[store]],Table2[store '#],Table2[Franchise])</f>
        <v>Tacoma</v>
      </c>
      <c r="C340">
        <v>5293</v>
      </c>
      <c r="D340" t="s">
        <v>62</v>
      </c>
      <c r="E340" s="6" t="s">
        <v>63</v>
      </c>
    </row>
    <row r="341" spans="2:7" hidden="1" x14ac:dyDescent="0.25">
      <c r="B341" t="str">
        <f>_xlfn.XLOOKUP(Export[[#This Row],[store]],Table2[store '#],Table2[Franchise])</f>
        <v>Tacoma</v>
      </c>
      <c r="C341">
        <v>5296</v>
      </c>
      <c r="D341" t="s">
        <v>76</v>
      </c>
      <c r="E341" t="s">
        <v>77</v>
      </c>
      <c r="F341" s="4">
        <v>13.99</v>
      </c>
      <c r="G341" s="4">
        <v>13.99</v>
      </c>
    </row>
    <row r="342" spans="2:7" hidden="1" x14ac:dyDescent="0.25">
      <c r="B342" t="str">
        <f>_xlfn.XLOOKUP(Export[[#This Row],[store]],Table2[store '#],Table2[Franchise])</f>
        <v>Tacoma</v>
      </c>
      <c r="C342">
        <v>5296</v>
      </c>
      <c r="D342" t="s">
        <v>6</v>
      </c>
      <c r="E342" t="s">
        <v>61</v>
      </c>
      <c r="F342" s="4">
        <v>6.99</v>
      </c>
      <c r="G342" s="4">
        <v>6.99</v>
      </c>
    </row>
    <row r="343" spans="2:7" hidden="1" x14ac:dyDescent="0.25">
      <c r="B343" t="str">
        <f>_xlfn.XLOOKUP(Export[[#This Row],[store]],Table2[store '#],Table2[Franchise])</f>
        <v>Tacoma</v>
      </c>
      <c r="C343">
        <v>5296</v>
      </c>
      <c r="D343" t="s">
        <v>17</v>
      </c>
      <c r="E343" t="s">
        <v>18</v>
      </c>
      <c r="F343" s="4">
        <v>9.99</v>
      </c>
      <c r="G343" s="4">
        <v>9.99</v>
      </c>
    </row>
    <row r="344" spans="2:7" hidden="1" x14ac:dyDescent="0.25">
      <c r="B344" t="str">
        <f>_xlfn.XLOOKUP(Export[[#This Row],[store]],Table2[store '#],Table2[Franchise])</f>
        <v>Tacoma</v>
      </c>
      <c r="C344">
        <v>5296</v>
      </c>
      <c r="D344" t="s">
        <v>19</v>
      </c>
      <c r="E344" t="s">
        <v>20</v>
      </c>
      <c r="F344" s="4">
        <v>12.99</v>
      </c>
      <c r="G344" s="4">
        <v>12.99</v>
      </c>
    </row>
    <row r="345" spans="2:7" hidden="1" x14ac:dyDescent="0.25">
      <c r="B345" t="str">
        <f>_xlfn.XLOOKUP(Export[[#This Row],[store]],Table2[store '#],Table2[Franchise])</f>
        <v>Tacoma</v>
      </c>
      <c r="C345">
        <v>5296</v>
      </c>
      <c r="D345" t="s">
        <v>25</v>
      </c>
      <c r="E345" t="s">
        <v>26</v>
      </c>
      <c r="F345" s="4">
        <v>15.99</v>
      </c>
      <c r="G345" s="4">
        <v>15.99</v>
      </c>
    </row>
    <row r="346" spans="2:7" hidden="1" x14ac:dyDescent="0.25">
      <c r="B346" t="str">
        <f>_xlfn.XLOOKUP(Export[[#This Row],[store]],Table2[store '#],Table2[Franchise])</f>
        <v>Tacoma</v>
      </c>
      <c r="C346">
        <v>5296</v>
      </c>
      <c r="D346" t="s">
        <v>23</v>
      </c>
      <c r="E346" t="s">
        <v>24</v>
      </c>
      <c r="F346" s="5">
        <v>10</v>
      </c>
      <c r="G346" s="5">
        <v>10</v>
      </c>
    </row>
    <row r="347" spans="2:7" hidden="1" x14ac:dyDescent="0.25">
      <c r="B347" t="str">
        <f>_xlfn.XLOOKUP(Export[[#This Row],[store]],Table2[store '#],Table2[Franchise])</f>
        <v>Tacoma</v>
      </c>
      <c r="C347">
        <v>5296</v>
      </c>
      <c r="D347" t="s">
        <v>29</v>
      </c>
      <c r="E347" t="s">
        <v>30</v>
      </c>
      <c r="F347" s="4">
        <v>25.99</v>
      </c>
      <c r="G347" s="4">
        <v>25.99</v>
      </c>
    </row>
    <row r="348" spans="2:7" hidden="1" x14ac:dyDescent="0.25">
      <c r="B348" t="str">
        <f>_xlfn.XLOOKUP(Export[[#This Row],[store]],Table2[store '#],Table2[Franchise])</f>
        <v>Tacoma</v>
      </c>
      <c r="C348">
        <v>5296</v>
      </c>
      <c r="D348" t="s">
        <v>27</v>
      </c>
      <c r="E348" t="s">
        <v>28</v>
      </c>
      <c r="F348" s="4">
        <v>18.989999999999998</v>
      </c>
      <c r="G348" s="4">
        <v>18.989999999999998</v>
      </c>
    </row>
    <row r="349" spans="2:7" hidden="1" x14ac:dyDescent="0.25">
      <c r="B349" t="str">
        <f>_xlfn.XLOOKUP(Export[[#This Row],[store]],Table2[store '#],Table2[Franchise])</f>
        <v>Tacoma</v>
      </c>
      <c r="C349">
        <v>5296</v>
      </c>
      <c r="D349" t="s">
        <v>33</v>
      </c>
      <c r="E349" t="s">
        <v>34</v>
      </c>
      <c r="F349" s="4">
        <v>29.99</v>
      </c>
      <c r="G349" s="4">
        <v>29.99</v>
      </c>
    </row>
    <row r="350" spans="2:7" hidden="1" x14ac:dyDescent="0.25">
      <c r="B350" t="str">
        <f>_xlfn.XLOOKUP(Export[[#This Row],[store]],Table2[store '#],Table2[Franchise])</f>
        <v>Tacoma</v>
      </c>
      <c r="C350">
        <v>5296</v>
      </c>
      <c r="D350" t="s">
        <v>21</v>
      </c>
      <c r="E350" t="s">
        <v>22</v>
      </c>
      <c r="F350" s="4">
        <v>15.99</v>
      </c>
      <c r="G350" s="4">
        <v>15.99</v>
      </c>
    </row>
    <row r="351" spans="2:7" hidden="1" x14ac:dyDescent="0.25">
      <c r="B351" t="str">
        <f>_xlfn.XLOOKUP(Export[[#This Row],[store]],Table2[store '#],Table2[Franchise])</f>
        <v>Tacoma</v>
      </c>
      <c r="C351">
        <v>5296</v>
      </c>
      <c r="D351" t="s">
        <v>66</v>
      </c>
      <c r="E351" t="s">
        <v>67</v>
      </c>
    </row>
    <row r="352" spans="2:7" hidden="1" x14ac:dyDescent="0.25">
      <c r="B352" t="str">
        <f>_xlfn.XLOOKUP(Export[[#This Row],[store]],Table2[store '#],Table2[Franchise])</f>
        <v>Tacoma</v>
      </c>
      <c r="C352">
        <v>5296</v>
      </c>
      <c r="D352" t="s">
        <v>78</v>
      </c>
      <c r="E352" t="s">
        <v>79</v>
      </c>
      <c r="F352" s="4">
        <v>6.99</v>
      </c>
      <c r="G352" s="4">
        <v>6.99</v>
      </c>
    </row>
    <row r="353" spans="1:7" hidden="1" x14ac:dyDescent="0.25">
      <c r="B353" t="str">
        <f>_xlfn.XLOOKUP(Export[[#This Row],[store]],Table2[store '#],Table2[Franchise])</f>
        <v>Tacoma</v>
      </c>
      <c r="C353">
        <v>5296</v>
      </c>
      <c r="D353" t="s">
        <v>80</v>
      </c>
      <c r="E353" t="s">
        <v>81</v>
      </c>
      <c r="F353" s="4">
        <v>4.99</v>
      </c>
      <c r="G353" s="4">
        <v>4.99</v>
      </c>
    </row>
    <row r="354" spans="1:7" ht="30" hidden="1" x14ac:dyDescent="0.25">
      <c r="B354" t="str">
        <f>_xlfn.XLOOKUP(Export[[#This Row],[store]],Table2[store '#],Table2[Franchise])</f>
        <v>Tacoma</v>
      </c>
      <c r="C354">
        <v>5296</v>
      </c>
      <c r="D354" t="s">
        <v>62</v>
      </c>
      <c r="E354" s="6" t="s">
        <v>63</v>
      </c>
    </row>
    <row r="355" spans="1:7" hidden="1" x14ac:dyDescent="0.25">
      <c r="B355" t="str">
        <f>_xlfn.XLOOKUP(Export[[#This Row],[store]],Table2[store '#],Table2[Franchise])</f>
        <v>Tacoma</v>
      </c>
      <c r="C355">
        <v>2306</v>
      </c>
      <c r="D355" t="s">
        <v>76</v>
      </c>
      <c r="E355" t="s">
        <v>77</v>
      </c>
      <c r="F355" s="4">
        <v>13.99</v>
      </c>
      <c r="G355" s="4">
        <v>13.99</v>
      </c>
    </row>
    <row r="356" spans="1:7" hidden="1" x14ac:dyDescent="0.25">
      <c r="B356" t="str">
        <f>_xlfn.XLOOKUP(Export[[#This Row],[store]],Table2[store '#],Table2[Franchise])</f>
        <v>Tacoma</v>
      </c>
      <c r="C356">
        <v>2306</v>
      </c>
      <c r="D356" t="s">
        <v>6</v>
      </c>
      <c r="E356" t="s">
        <v>61</v>
      </c>
      <c r="F356" s="4">
        <v>6.99</v>
      </c>
      <c r="G356" s="4">
        <v>6.99</v>
      </c>
    </row>
    <row r="357" spans="1:7" hidden="1" x14ac:dyDescent="0.25">
      <c r="B357" t="str">
        <f>_xlfn.XLOOKUP(Export[[#This Row],[store]],Table2[store '#],Table2[Franchise])</f>
        <v>Tacoma</v>
      </c>
      <c r="C357">
        <v>2306</v>
      </c>
      <c r="D357" t="s">
        <v>17</v>
      </c>
      <c r="E357" t="s">
        <v>18</v>
      </c>
      <c r="F357" s="4">
        <v>9.99</v>
      </c>
      <c r="G357" s="4">
        <v>9.99</v>
      </c>
    </row>
    <row r="358" spans="1:7" hidden="1" x14ac:dyDescent="0.25">
      <c r="B358" t="str">
        <f>_xlfn.XLOOKUP(Export[[#This Row],[store]],Table2[store '#],Table2[Franchise])</f>
        <v>Tacoma</v>
      </c>
      <c r="C358">
        <v>2306</v>
      </c>
      <c r="D358" t="s">
        <v>19</v>
      </c>
      <c r="E358" t="s">
        <v>20</v>
      </c>
      <c r="F358" s="4">
        <v>12.99</v>
      </c>
      <c r="G358" s="4">
        <v>12.99</v>
      </c>
    </row>
    <row r="359" spans="1:7" hidden="1" x14ac:dyDescent="0.25">
      <c r="B359" t="str">
        <f>_xlfn.XLOOKUP(Export[[#This Row],[store]],Table2[store '#],Table2[Franchise])</f>
        <v>Tacoma</v>
      </c>
      <c r="C359">
        <v>2306</v>
      </c>
      <c r="D359" t="s">
        <v>25</v>
      </c>
      <c r="E359" t="s">
        <v>26</v>
      </c>
      <c r="F359" s="4">
        <v>15.99</v>
      </c>
      <c r="G359" s="4">
        <v>15.99</v>
      </c>
    </row>
    <row r="360" spans="1:7" hidden="1" x14ac:dyDescent="0.25">
      <c r="B360" t="str">
        <f>_xlfn.XLOOKUP(Export[[#This Row],[store]],Table2[store '#],Table2[Franchise])</f>
        <v>Tacoma</v>
      </c>
      <c r="C360">
        <v>2306</v>
      </c>
      <c r="D360" t="s">
        <v>23</v>
      </c>
      <c r="E360" t="s">
        <v>24</v>
      </c>
      <c r="F360" s="5">
        <v>10</v>
      </c>
      <c r="G360" s="5">
        <v>10</v>
      </c>
    </row>
    <row r="361" spans="1:7" hidden="1" x14ac:dyDescent="0.25">
      <c r="B361" t="str">
        <f>_xlfn.XLOOKUP(Export[[#This Row],[store]],Table2[store '#],Table2[Franchise])</f>
        <v>Tacoma</v>
      </c>
      <c r="C361">
        <v>2306</v>
      </c>
      <c r="D361" t="s">
        <v>29</v>
      </c>
      <c r="E361" t="s">
        <v>30</v>
      </c>
      <c r="F361" s="4">
        <v>25.99</v>
      </c>
      <c r="G361" s="4">
        <v>25.99</v>
      </c>
    </row>
    <row r="362" spans="1:7" hidden="1" x14ac:dyDescent="0.25">
      <c r="B362" t="str">
        <f>_xlfn.XLOOKUP(Export[[#This Row],[store]],Table2[store '#],Table2[Franchise])</f>
        <v>Tacoma</v>
      </c>
      <c r="C362">
        <v>2306</v>
      </c>
      <c r="D362" t="s">
        <v>27</v>
      </c>
      <c r="E362" t="s">
        <v>28</v>
      </c>
      <c r="F362" s="4">
        <v>18.989999999999998</v>
      </c>
      <c r="G362" s="4">
        <v>18.989999999999998</v>
      </c>
    </row>
    <row r="363" spans="1:7" hidden="1" x14ac:dyDescent="0.25">
      <c r="B363" t="str">
        <f>_xlfn.XLOOKUP(Export[[#This Row],[store]],Table2[store '#],Table2[Franchise])</f>
        <v>Tacoma</v>
      </c>
      <c r="C363">
        <v>2306</v>
      </c>
      <c r="D363" t="s">
        <v>33</v>
      </c>
      <c r="E363" t="s">
        <v>34</v>
      </c>
      <c r="F363" s="4">
        <v>29.99</v>
      </c>
      <c r="G363" s="4">
        <v>29.99</v>
      </c>
    </row>
    <row r="364" spans="1:7" hidden="1" x14ac:dyDescent="0.25">
      <c r="A364" s="7"/>
      <c r="B364" s="7"/>
      <c r="C364">
        <v>2306</v>
      </c>
      <c r="D364" t="s">
        <v>21</v>
      </c>
      <c r="E364" t="s">
        <v>22</v>
      </c>
      <c r="F364" s="4">
        <v>15.99</v>
      </c>
      <c r="G364" s="4">
        <v>15.99</v>
      </c>
    </row>
    <row r="365" spans="1:7" hidden="1" x14ac:dyDescent="0.25">
      <c r="A365" s="7"/>
      <c r="B365" s="7"/>
      <c r="C365">
        <v>2306</v>
      </c>
      <c r="D365" t="s">
        <v>31</v>
      </c>
      <c r="E365" t="s">
        <v>32</v>
      </c>
      <c r="F365" s="4">
        <v>15.99</v>
      </c>
      <c r="G365" s="4">
        <v>15.99</v>
      </c>
    </row>
    <row r="366" spans="1:7" hidden="1" x14ac:dyDescent="0.25">
      <c r="A366" s="7"/>
      <c r="B366" s="7"/>
      <c r="C366">
        <v>2306</v>
      </c>
      <c r="D366" t="s">
        <v>66</v>
      </c>
      <c r="E366" t="s">
        <v>67</v>
      </c>
    </row>
    <row r="367" spans="1:7" hidden="1" x14ac:dyDescent="0.25">
      <c r="A367" s="7"/>
      <c r="B367" s="7"/>
      <c r="C367">
        <v>2306</v>
      </c>
      <c r="D367" t="s">
        <v>78</v>
      </c>
      <c r="E367" t="s">
        <v>79</v>
      </c>
      <c r="F367" s="4">
        <v>6.99</v>
      </c>
      <c r="G367" s="4">
        <v>6.99</v>
      </c>
    </row>
    <row r="368" spans="1:7" hidden="1" x14ac:dyDescent="0.25">
      <c r="A368" s="7"/>
      <c r="B368" s="7"/>
      <c r="C368">
        <v>2306</v>
      </c>
      <c r="D368" t="s">
        <v>80</v>
      </c>
      <c r="E368" t="s">
        <v>81</v>
      </c>
      <c r="F368" s="4">
        <v>4.99</v>
      </c>
      <c r="G368" s="4">
        <v>4.99</v>
      </c>
    </row>
    <row r="369" spans="1:7" ht="30" hidden="1" x14ac:dyDescent="0.25">
      <c r="A369" s="7"/>
      <c r="B369" s="7"/>
      <c r="C369">
        <v>2306</v>
      </c>
      <c r="D369" t="s">
        <v>62</v>
      </c>
      <c r="E369" s="6" t="s">
        <v>63</v>
      </c>
    </row>
    <row r="370" spans="1:7" hidden="1" x14ac:dyDescent="0.25">
      <c r="A370" s="7"/>
      <c r="B370" s="7"/>
      <c r="C370">
        <v>2618</v>
      </c>
      <c r="D370" t="s">
        <v>76</v>
      </c>
      <c r="E370" t="s">
        <v>77</v>
      </c>
      <c r="F370" s="4">
        <v>13.99</v>
      </c>
      <c r="G370" s="4">
        <v>13.99</v>
      </c>
    </row>
    <row r="371" spans="1:7" hidden="1" x14ac:dyDescent="0.25">
      <c r="A371" s="7"/>
      <c r="B371" s="7"/>
      <c r="C371">
        <v>2618</v>
      </c>
      <c r="D371" t="s">
        <v>6</v>
      </c>
      <c r="E371" t="s">
        <v>61</v>
      </c>
      <c r="F371" s="4">
        <v>6.99</v>
      </c>
      <c r="G371" s="4">
        <v>6.99</v>
      </c>
    </row>
    <row r="372" spans="1:7" hidden="1" x14ac:dyDescent="0.25">
      <c r="A372" s="7"/>
      <c r="B372" s="7"/>
      <c r="C372">
        <v>2618</v>
      </c>
      <c r="D372" t="s">
        <v>17</v>
      </c>
      <c r="E372" t="s">
        <v>18</v>
      </c>
      <c r="F372" s="4">
        <v>9.99</v>
      </c>
      <c r="G372" s="4">
        <v>9.99</v>
      </c>
    </row>
    <row r="373" spans="1:7" hidden="1" x14ac:dyDescent="0.25">
      <c r="A373" s="7"/>
      <c r="B373" s="7"/>
      <c r="C373">
        <v>2618</v>
      </c>
      <c r="D373" t="s">
        <v>19</v>
      </c>
      <c r="E373" t="s">
        <v>20</v>
      </c>
      <c r="F373" s="4">
        <v>12.99</v>
      </c>
      <c r="G373" s="4">
        <v>12.99</v>
      </c>
    </row>
    <row r="374" spans="1:7" hidden="1" x14ac:dyDescent="0.25">
      <c r="A374" s="7"/>
      <c r="B374" s="7"/>
      <c r="C374">
        <v>2618</v>
      </c>
      <c r="D374" t="s">
        <v>25</v>
      </c>
      <c r="E374" t="s">
        <v>26</v>
      </c>
      <c r="F374" s="4">
        <v>15.99</v>
      </c>
      <c r="G374" s="4">
        <v>15.99</v>
      </c>
    </row>
    <row r="375" spans="1:7" hidden="1" x14ac:dyDescent="0.25">
      <c r="A375" s="7"/>
      <c r="B375" s="7"/>
      <c r="C375">
        <v>2618</v>
      </c>
      <c r="D375" t="s">
        <v>23</v>
      </c>
      <c r="E375" t="s">
        <v>24</v>
      </c>
      <c r="F375" s="5">
        <v>10</v>
      </c>
      <c r="G375" s="5">
        <v>10</v>
      </c>
    </row>
    <row r="376" spans="1:7" hidden="1" x14ac:dyDescent="0.25">
      <c r="A376" s="7"/>
      <c r="B376" s="7"/>
      <c r="C376">
        <v>2618</v>
      </c>
      <c r="D376" t="s">
        <v>29</v>
      </c>
      <c r="E376" t="s">
        <v>30</v>
      </c>
      <c r="F376" s="4">
        <v>25.99</v>
      </c>
      <c r="G376" s="4">
        <v>25.99</v>
      </c>
    </row>
    <row r="377" spans="1:7" hidden="1" x14ac:dyDescent="0.25">
      <c r="A377" s="7"/>
      <c r="B377" s="7"/>
      <c r="C377">
        <v>2618</v>
      </c>
      <c r="D377" t="s">
        <v>27</v>
      </c>
      <c r="E377" t="s">
        <v>28</v>
      </c>
      <c r="F377" s="4">
        <v>18.989999999999998</v>
      </c>
      <c r="G377" s="4">
        <v>18.989999999999998</v>
      </c>
    </row>
    <row r="378" spans="1:7" hidden="1" x14ac:dyDescent="0.25">
      <c r="A378" s="7"/>
      <c r="B378" s="7"/>
      <c r="C378">
        <v>2618</v>
      </c>
      <c r="D378" t="s">
        <v>33</v>
      </c>
      <c r="E378" t="s">
        <v>34</v>
      </c>
      <c r="F378" s="4">
        <v>29.99</v>
      </c>
      <c r="G378" s="4">
        <v>29.99</v>
      </c>
    </row>
    <row r="379" spans="1:7" hidden="1" x14ac:dyDescent="0.25">
      <c r="A379" s="7"/>
      <c r="B379" s="7"/>
      <c r="C379">
        <v>2618</v>
      </c>
      <c r="D379" t="s">
        <v>21</v>
      </c>
      <c r="E379" t="s">
        <v>22</v>
      </c>
      <c r="F379" s="4">
        <v>15.99</v>
      </c>
      <c r="G379" s="4">
        <v>15.99</v>
      </c>
    </row>
    <row r="380" spans="1:7" hidden="1" x14ac:dyDescent="0.25">
      <c r="A380" s="7"/>
      <c r="B380" s="7"/>
      <c r="C380">
        <v>2618</v>
      </c>
      <c r="D380" t="s">
        <v>31</v>
      </c>
      <c r="E380" t="s">
        <v>32</v>
      </c>
      <c r="F380" s="4">
        <v>15.99</v>
      </c>
      <c r="G380" s="4">
        <v>15.99</v>
      </c>
    </row>
    <row r="381" spans="1:7" hidden="1" x14ac:dyDescent="0.25">
      <c r="A381" s="7"/>
      <c r="B381" s="7"/>
      <c r="C381">
        <v>2618</v>
      </c>
      <c r="D381" t="s">
        <v>66</v>
      </c>
      <c r="E381" t="s">
        <v>67</v>
      </c>
    </row>
    <row r="382" spans="1:7" hidden="1" x14ac:dyDescent="0.25">
      <c r="A382" s="7"/>
      <c r="B382" s="7"/>
      <c r="C382">
        <v>2618</v>
      </c>
      <c r="D382" t="s">
        <v>78</v>
      </c>
      <c r="E382" t="s">
        <v>79</v>
      </c>
      <c r="F382" s="4">
        <v>6.99</v>
      </c>
      <c r="G382" s="4">
        <v>6.99</v>
      </c>
    </row>
    <row r="383" spans="1:7" hidden="1" x14ac:dyDescent="0.25">
      <c r="A383" s="7"/>
      <c r="B383" s="7"/>
      <c r="C383">
        <v>2618</v>
      </c>
      <c r="D383" t="s">
        <v>80</v>
      </c>
      <c r="E383" t="s">
        <v>81</v>
      </c>
      <c r="F383" s="4">
        <v>4.99</v>
      </c>
      <c r="G383" s="4">
        <v>4.99</v>
      </c>
    </row>
    <row r="384" spans="1:7" ht="30" hidden="1" x14ac:dyDescent="0.25">
      <c r="A384" s="7"/>
      <c r="B384" s="7"/>
      <c r="C384">
        <v>2618</v>
      </c>
      <c r="D384" t="s">
        <v>62</v>
      </c>
      <c r="E384" s="6" t="s">
        <v>63</v>
      </c>
    </row>
    <row r="385" spans="1:7" hidden="1" x14ac:dyDescent="0.25">
      <c r="A385" s="7"/>
      <c r="B385" s="7"/>
      <c r="C385">
        <v>3130</v>
      </c>
      <c r="D385" t="s">
        <v>76</v>
      </c>
      <c r="E385" t="s">
        <v>77</v>
      </c>
      <c r="F385" s="4">
        <v>13.99</v>
      </c>
      <c r="G385" s="4">
        <v>13.99</v>
      </c>
    </row>
    <row r="386" spans="1:7" hidden="1" x14ac:dyDescent="0.25">
      <c r="A386" s="7"/>
      <c r="B386" s="7"/>
      <c r="C386">
        <v>3130</v>
      </c>
      <c r="D386" t="s">
        <v>6</v>
      </c>
      <c r="E386" t="s">
        <v>61</v>
      </c>
      <c r="F386" s="4">
        <v>6.99</v>
      </c>
      <c r="G386" s="4">
        <v>6.99</v>
      </c>
    </row>
    <row r="387" spans="1:7" hidden="1" x14ac:dyDescent="0.25">
      <c r="A387" s="7"/>
      <c r="B387" s="7"/>
      <c r="C387">
        <v>3130</v>
      </c>
      <c r="D387" t="s">
        <v>68</v>
      </c>
      <c r="E387" t="s">
        <v>69</v>
      </c>
      <c r="F387" s="4">
        <v>8.99</v>
      </c>
      <c r="G387" s="4">
        <v>8.99</v>
      </c>
    </row>
    <row r="388" spans="1:7" hidden="1" x14ac:dyDescent="0.25">
      <c r="A388" s="7"/>
      <c r="B388" s="7"/>
      <c r="C388">
        <v>3130</v>
      </c>
      <c r="D388" t="s">
        <v>19</v>
      </c>
      <c r="E388" t="s">
        <v>20</v>
      </c>
      <c r="F388" s="4">
        <v>12.99</v>
      </c>
      <c r="G388" s="4">
        <v>12.99</v>
      </c>
    </row>
    <row r="389" spans="1:7" hidden="1" x14ac:dyDescent="0.25">
      <c r="A389" s="7"/>
      <c r="B389" s="7"/>
      <c r="C389">
        <v>3130</v>
      </c>
      <c r="D389" t="s">
        <v>70</v>
      </c>
      <c r="E389" t="s">
        <v>71</v>
      </c>
      <c r="F389" s="4">
        <v>13.99</v>
      </c>
      <c r="G389" s="4">
        <v>13.99</v>
      </c>
    </row>
    <row r="390" spans="1:7" hidden="1" x14ac:dyDescent="0.25">
      <c r="A390" s="7"/>
      <c r="B390" s="7"/>
      <c r="C390">
        <v>3130</v>
      </c>
      <c r="D390" t="s">
        <v>23</v>
      </c>
      <c r="E390" t="s">
        <v>24</v>
      </c>
      <c r="F390" s="5">
        <v>10</v>
      </c>
      <c r="G390" s="5">
        <v>10</v>
      </c>
    </row>
    <row r="391" spans="1:7" hidden="1" x14ac:dyDescent="0.25">
      <c r="A391" s="7"/>
      <c r="B391" s="7"/>
      <c r="C391">
        <v>3130</v>
      </c>
      <c r="D391" t="s">
        <v>29</v>
      </c>
      <c r="E391" t="s">
        <v>72</v>
      </c>
      <c r="F391" s="4">
        <v>24.99</v>
      </c>
      <c r="G391" s="4">
        <v>24.99</v>
      </c>
    </row>
    <row r="392" spans="1:7" hidden="1" x14ac:dyDescent="0.25">
      <c r="A392" s="7"/>
      <c r="B392" s="7"/>
      <c r="C392">
        <v>3130</v>
      </c>
      <c r="D392" t="s">
        <v>64</v>
      </c>
      <c r="E392" t="s">
        <v>65</v>
      </c>
      <c r="F392" s="4">
        <v>16.989999999999998</v>
      </c>
      <c r="G392" s="4">
        <v>16.989999999999998</v>
      </c>
    </row>
    <row r="393" spans="1:7" hidden="1" x14ac:dyDescent="0.25">
      <c r="A393" s="7"/>
      <c r="B393" s="7"/>
      <c r="C393">
        <v>3130</v>
      </c>
      <c r="D393" t="s">
        <v>33</v>
      </c>
      <c r="E393" t="s">
        <v>73</v>
      </c>
      <c r="F393" s="4">
        <v>27.99</v>
      </c>
      <c r="G393" s="4">
        <v>27.99</v>
      </c>
    </row>
    <row r="394" spans="1:7" hidden="1" x14ac:dyDescent="0.25">
      <c r="A394" s="7"/>
      <c r="B394" s="7"/>
      <c r="C394">
        <v>3130</v>
      </c>
      <c r="D394" t="s">
        <v>21</v>
      </c>
      <c r="E394" t="s">
        <v>22</v>
      </c>
      <c r="F394" s="4">
        <v>15.99</v>
      </c>
      <c r="G394" s="4">
        <v>15.99</v>
      </c>
    </row>
    <row r="395" spans="1:7" hidden="1" x14ac:dyDescent="0.25">
      <c r="A395" s="7"/>
      <c r="B395" s="7"/>
      <c r="C395">
        <v>3130</v>
      </c>
      <c r="D395" t="s">
        <v>31</v>
      </c>
      <c r="E395" t="s">
        <v>32</v>
      </c>
      <c r="F395" s="4">
        <v>15.99</v>
      </c>
      <c r="G395" s="4">
        <v>15.99</v>
      </c>
    </row>
    <row r="396" spans="1:7" hidden="1" x14ac:dyDescent="0.25">
      <c r="A396" s="7"/>
      <c r="B396" s="7"/>
      <c r="C396">
        <v>3130</v>
      </c>
      <c r="D396" t="s">
        <v>66</v>
      </c>
      <c r="E396" t="s">
        <v>67</v>
      </c>
    </row>
    <row r="397" spans="1:7" hidden="1" x14ac:dyDescent="0.25">
      <c r="A397" s="7"/>
      <c r="B397" s="7"/>
      <c r="C397">
        <v>3130</v>
      </c>
      <c r="D397" t="s">
        <v>78</v>
      </c>
      <c r="E397" t="s">
        <v>79</v>
      </c>
      <c r="F397" s="4">
        <v>6.99</v>
      </c>
      <c r="G397" s="4">
        <v>6.99</v>
      </c>
    </row>
    <row r="398" spans="1:7" hidden="1" x14ac:dyDescent="0.25">
      <c r="A398" s="7"/>
      <c r="B398" s="7"/>
      <c r="C398">
        <v>3130</v>
      </c>
      <c r="D398" t="s">
        <v>80</v>
      </c>
      <c r="E398" t="s">
        <v>81</v>
      </c>
      <c r="F398" s="4">
        <v>4.99</v>
      </c>
      <c r="G398" s="4">
        <v>4.99</v>
      </c>
    </row>
    <row r="399" spans="1:7" ht="30" hidden="1" x14ac:dyDescent="0.25">
      <c r="A399" s="7"/>
      <c r="B399" s="7"/>
      <c r="C399">
        <v>3130</v>
      </c>
      <c r="D399" t="s">
        <v>62</v>
      </c>
      <c r="E399" s="6" t="s">
        <v>63</v>
      </c>
    </row>
    <row r="400" spans="1:7" hidden="1" x14ac:dyDescent="0.25">
      <c r="A400" s="7"/>
      <c r="B400" s="7"/>
      <c r="C400">
        <v>3479</v>
      </c>
      <c r="D400" t="s">
        <v>76</v>
      </c>
      <c r="E400" t="s">
        <v>77</v>
      </c>
      <c r="F400" s="4">
        <v>13.99</v>
      </c>
      <c r="G400" s="4">
        <v>13.99</v>
      </c>
    </row>
    <row r="401" spans="1:7" hidden="1" x14ac:dyDescent="0.25">
      <c r="A401" s="7"/>
      <c r="B401" s="7"/>
      <c r="C401">
        <v>3479</v>
      </c>
      <c r="D401" t="s">
        <v>6</v>
      </c>
      <c r="E401" t="s">
        <v>61</v>
      </c>
      <c r="F401" s="4">
        <v>6.99</v>
      </c>
      <c r="G401" s="4">
        <v>6.99</v>
      </c>
    </row>
    <row r="402" spans="1:7" hidden="1" x14ac:dyDescent="0.25">
      <c r="A402" s="7"/>
      <c r="B402" s="7"/>
      <c r="C402">
        <v>3479</v>
      </c>
      <c r="D402" t="s">
        <v>17</v>
      </c>
      <c r="E402" t="s">
        <v>18</v>
      </c>
      <c r="F402" s="4">
        <v>9.99</v>
      </c>
      <c r="G402" s="4">
        <v>9.99</v>
      </c>
    </row>
    <row r="403" spans="1:7" hidden="1" x14ac:dyDescent="0.25">
      <c r="A403" s="7"/>
      <c r="B403" s="7"/>
      <c r="C403">
        <v>3479</v>
      </c>
      <c r="D403" t="s">
        <v>19</v>
      </c>
      <c r="E403" t="s">
        <v>20</v>
      </c>
      <c r="F403" s="4">
        <v>12.99</v>
      </c>
      <c r="G403" s="4">
        <v>12.99</v>
      </c>
    </row>
    <row r="404" spans="1:7" hidden="1" x14ac:dyDescent="0.25">
      <c r="A404" s="7"/>
      <c r="B404" s="7"/>
      <c r="C404">
        <v>3479</v>
      </c>
      <c r="D404" t="s">
        <v>25</v>
      </c>
      <c r="E404" t="s">
        <v>26</v>
      </c>
      <c r="F404" s="4">
        <v>15.99</v>
      </c>
      <c r="G404" s="4">
        <v>15.99</v>
      </c>
    </row>
    <row r="405" spans="1:7" hidden="1" x14ac:dyDescent="0.25">
      <c r="A405" s="7"/>
      <c r="B405" s="7"/>
      <c r="C405">
        <v>3479</v>
      </c>
      <c r="D405" t="s">
        <v>23</v>
      </c>
      <c r="E405" t="s">
        <v>24</v>
      </c>
      <c r="F405" s="5">
        <v>10</v>
      </c>
      <c r="G405" s="5">
        <v>10</v>
      </c>
    </row>
    <row r="406" spans="1:7" hidden="1" x14ac:dyDescent="0.25">
      <c r="A406" s="7"/>
      <c r="B406" s="7"/>
      <c r="C406">
        <v>3479</v>
      </c>
      <c r="D406" t="s">
        <v>29</v>
      </c>
      <c r="E406" t="s">
        <v>30</v>
      </c>
      <c r="F406" s="4">
        <v>25.99</v>
      </c>
      <c r="G406" s="4">
        <v>25.99</v>
      </c>
    </row>
    <row r="407" spans="1:7" hidden="1" x14ac:dyDescent="0.25">
      <c r="A407" s="7"/>
      <c r="B407" s="7"/>
      <c r="C407">
        <v>3479</v>
      </c>
      <c r="D407" t="s">
        <v>27</v>
      </c>
      <c r="E407" t="s">
        <v>28</v>
      </c>
      <c r="F407" s="4">
        <v>18.989999999999998</v>
      </c>
      <c r="G407" s="4">
        <v>18.989999999999998</v>
      </c>
    </row>
    <row r="408" spans="1:7" hidden="1" x14ac:dyDescent="0.25">
      <c r="A408" s="7"/>
      <c r="B408" s="7"/>
      <c r="C408">
        <v>3479</v>
      </c>
      <c r="D408" t="s">
        <v>33</v>
      </c>
      <c r="E408" t="s">
        <v>34</v>
      </c>
      <c r="F408" s="4">
        <v>29.99</v>
      </c>
      <c r="G408" s="4">
        <v>29.99</v>
      </c>
    </row>
    <row r="409" spans="1:7" hidden="1" x14ac:dyDescent="0.25">
      <c r="A409" s="7"/>
      <c r="B409" s="7"/>
      <c r="C409">
        <v>3479</v>
      </c>
      <c r="D409" t="s">
        <v>21</v>
      </c>
      <c r="E409" t="s">
        <v>22</v>
      </c>
      <c r="F409" s="4">
        <v>15.99</v>
      </c>
      <c r="G409" s="4">
        <v>15.99</v>
      </c>
    </row>
    <row r="410" spans="1:7" hidden="1" x14ac:dyDescent="0.25">
      <c r="A410" s="7"/>
      <c r="B410" s="7"/>
      <c r="C410">
        <v>3479</v>
      </c>
      <c r="D410" t="s">
        <v>31</v>
      </c>
      <c r="E410" t="s">
        <v>32</v>
      </c>
      <c r="F410" s="4">
        <v>15.99</v>
      </c>
      <c r="G410" s="4">
        <v>15.99</v>
      </c>
    </row>
    <row r="411" spans="1:7" hidden="1" x14ac:dyDescent="0.25">
      <c r="A411" s="7"/>
      <c r="B411" s="7"/>
      <c r="C411">
        <v>3479</v>
      </c>
      <c r="D411" t="s">
        <v>66</v>
      </c>
      <c r="E411" t="s">
        <v>67</v>
      </c>
    </row>
    <row r="412" spans="1:7" hidden="1" x14ac:dyDescent="0.25">
      <c r="A412" s="7"/>
      <c r="B412" s="7"/>
      <c r="C412">
        <v>3479</v>
      </c>
      <c r="D412" t="s">
        <v>78</v>
      </c>
      <c r="E412" t="s">
        <v>79</v>
      </c>
      <c r="F412" s="4">
        <v>6.99</v>
      </c>
      <c r="G412" s="4">
        <v>6.99</v>
      </c>
    </row>
    <row r="413" spans="1:7" hidden="1" x14ac:dyDescent="0.25">
      <c r="A413" s="7"/>
      <c r="B413" s="7"/>
      <c r="C413">
        <v>3479</v>
      </c>
      <c r="D413" t="s">
        <v>80</v>
      </c>
      <c r="E413" t="s">
        <v>81</v>
      </c>
      <c r="F413" s="4">
        <v>4.99</v>
      </c>
      <c r="G413" s="4">
        <v>4.99</v>
      </c>
    </row>
    <row r="414" spans="1:7" ht="30" hidden="1" x14ac:dyDescent="0.25">
      <c r="A414" s="7"/>
      <c r="B414" s="7"/>
      <c r="C414">
        <v>3479</v>
      </c>
      <c r="D414" t="s">
        <v>62</v>
      </c>
      <c r="E414" s="6" t="s">
        <v>63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43EC-1ACA-460F-B8C9-6E8DFA8FCC5B}">
  <sheetPr codeName="Sheet3"/>
  <dimension ref="A2:F217"/>
  <sheetViews>
    <sheetView workbookViewId="0">
      <selection activeCell="R31" sqref="R31"/>
    </sheetView>
  </sheetViews>
  <sheetFormatPr defaultRowHeight="15" x14ac:dyDescent="0.25"/>
  <cols>
    <col min="5" max="5" width="17.7109375" bestFit="1" customWidth="1"/>
  </cols>
  <sheetData>
    <row r="2" spans="1:6" x14ac:dyDescent="0.25">
      <c r="A2">
        <f>IF(Pivot!B1="(All)",0,1)</f>
        <v>0</v>
      </c>
      <c r="B2">
        <f>IF(Pivot!B2="(All)",0,2)</f>
        <v>0</v>
      </c>
      <c r="C2">
        <f>SUM(A2:B2)</f>
        <v>0</v>
      </c>
    </row>
    <row r="4" spans="1:6" x14ac:dyDescent="0.25">
      <c r="A4" cm="1">
        <f t="array" ref="A4:A29">_xlfn.UNIQUE(_xlfn.CHOOSECOLS(IF($C$2=0,Export[],IF($C$2=1,_xlfn._xlws.FILTER(Export[],Export[Source.Name]=Pivot!$B$1),IF(Reference!$C$2=2,_xlfn._xlws.FILTER(Export[],Export[[DO or Franchise Name  ]]=Pivot!$B$2),IF(Reference!C2=3,_xlfn._xlws.FILTER(Export[],(Export[Source.Name]=Pivot!$B$1)*(Export[[DO or Franchise Name  ]]=Pivot!$B$2)),"error")))),3))</f>
        <v>1740</v>
      </c>
      <c r="C4" cm="1">
        <f t="array" ref="C4:C217">_xlfn.VSTACK(Pivot!A7:A220)</f>
        <v>1740</v>
      </c>
      <c r="E4" t="s">
        <v>15</v>
      </c>
      <c r="F4" t="str">
        <f>_xlfn.TEXTJOIN(", ",TRUE,TRANSPOSE(_xlfn.VSTACK(Pivot!$A$7:$A$220)))</f>
        <v>1740, 1743, 2172, 2174, 2208, 2236, 2272, 2306, 2325, 2457, 2478, 2549, 2603, 2612, 2618, 2687, 2921, 2953, 3015, 3130, 3479, 3498, 4405, 4778, 5293, 5296</v>
      </c>
    </row>
    <row r="5" spans="1:6" x14ac:dyDescent="0.25">
      <c r="A5">
        <v>1743</v>
      </c>
      <c r="C5">
        <v>1743</v>
      </c>
      <c r="E5" t="s">
        <v>14</v>
      </c>
      <c r="F5" t="str" cm="1">
        <f t="array" ref="F5">IFERROR(_xlfn.TEXTJOIN(", ",TRUE,TRANSPOSE(_xlfn.UNIQUE(_xlfn.VSTACK(_xlfn.UNIQUE(_xlfn.CHOOSECOLS(IF($C$2=0,Export[],IF($C$2=1,_xlfn._xlws.FILTER(Export[],Export[Source.Name]=Pivot!$B$1),IF(Reference!$C$2=2,_xlfn._xlws.FILTER(Export[],Export[[DO or Franchise Name  ]]=Pivot!$B$2),IF(Reference!$C$2=3,_xlfn._xlws.FILTER(Export[],(Export[Source.Name]=Pivot!$B$1)*(Export[[DO or Franchise Name  ]]=Pivot!$B$2)),"error")))),3)),_xlfn.VSTACK(Pivot!$A$7:$A$220)),,TRUE))),"None")</f>
        <v>None</v>
      </c>
    </row>
    <row r="6" spans="1:6" x14ac:dyDescent="0.25">
      <c r="A6">
        <v>2172</v>
      </c>
      <c r="C6">
        <v>2172</v>
      </c>
    </row>
    <row r="7" spans="1:6" x14ac:dyDescent="0.25">
      <c r="A7">
        <v>2174</v>
      </c>
      <c r="C7">
        <v>2174</v>
      </c>
    </row>
    <row r="8" spans="1:6" x14ac:dyDescent="0.25">
      <c r="A8">
        <v>2236</v>
      </c>
      <c r="C8">
        <v>2208</v>
      </c>
    </row>
    <row r="9" spans="1:6" x14ac:dyDescent="0.25">
      <c r="A9">
        <v>2272</v>
      </c>
      <c r="C9">
        <v>2236</v>
      </c>
    </row>
    <row r="10" spans="1:6" x14ac:dyDescent="0.25">
      <c r="A10">
        <v>2457</v>
      </c>
      <c r="C10">
        <v>2272</v>
      </c>
    </row>
    <row r="11" spans="1:6" x14ac:dyDescent="0.25">
      <c r="A11">
        <v>2549</v>
      </c>
      <c r="C11">
        <v>2306</v>
      </c>
    </row>
    <row r="12" spans="1:6" x14ac:dyDescent="0.25">
      <c r="A12">
        <v>2603</v>
      </c>
      <c r="C12">
        <v>2325</v>
      </c>
    </row>
    <row r="13" spans="1:6" x14ac:dyDescent="0.25">
      <c r="A13">
        <v>2953</v>
      </c>
      <c r="C13">
        <v>2457</v>
      </c>
    </row>
    <row r="14" spans="1:6" x14ac:dyDescent="0.25">
      <c r="A14">
        <v>3498</v>
      </c>
      <c r="C14">
        <v>2478</v>
      </c>
    </row>
    <row r="15" spans="1:6" x14ac:dyDescent="0.25">
      <c r="A15">
        <v>4778</v>
      </c>
      <c r="C15">
        <v>2549</v>
      </c>
    </row>
    <row r="16" spans="1:6" x14ac:dyDescent="0.25">
      <c r="A16">
        <v>2208</v>
      </c>
      <c r="C16">
        <v>2603</v>
      </c>
    </row>
    <row r="17" spans="1:3" x14ac:dyDescent="0.25">
      <c r="A17">
        <v>2325</v>
      </c>
      <c r="C17">
        <v>2612</v>
      </c>
    </row>
    <row r="18" spans="1:3" x14ac:dyDescent="0.25">
      <c r="A18">
        <v>2478</v>
      </c>
      <c r="C18">
        <v>2618</v>
      </c>
    </row>
    <row r="19" spans="1:3" x14ac:dyDescent="0.25">
      <c r="A19">
        <v>2612</v>
      </c>
      <c r="C19">
        <v>2687</v>
      </c>
    </row>
    <row r="20" spans="1:3" x14ac:dyDescent="0.25">
      <c r="A20">
        <v>2687</v>
      </c>
      <c r="C20">
        <v>2921</v>
      </c>
    </row>
    <row r="21" spans="1:3" x14ac:dyDescent="0.25">
      <c r="A21">
        <v>2921</v>
      </c>
      <c r="C21">
        <v>2953</v>
      </c>
    </row>
    <row r="22" spans="1:3" x14ac:dyDescent="0.25">
      <c r="A22">
        <v>3015</v>
      </c>
      <c r="C22">
        <v>3015</v>
      </c>
    </row>
    <row r="23" spans="1:3" x14ac:dyDescent="0.25">
      <c r="A23">
        <v>4405</v>
      </c>
      <c r="C23">
        <v>3130</v>
      </c>
    </row>
    <row r="24" spans="1:3" x14ac:dyDescent="0.25">
      <c r="A24">
        <v>5293</v>
      </c>
      <c r="C24">
        <v>3479</v>
      </c>
    </row>
    <row r="25" spans="1:3" x14ac:dyDescent="0.25">
      <c r="A25">
        <v>5296</v>
      </c>
      <c r="C25">
        <v>3498</v>
      </c>
    </row>
    <row r="26" spans="1:3" x14ac:dyDescent="0.25">
      <c r="A26">
        <v>2306</v>
      </c>
      <c r="C26">
        <v>4405</v>
      </c>
    </row>
    <row r="27" spans="1:3" x14ac:dyDescent="0.25">
      <c r="A27">
        <v>2618</v>
      </c>
      <c r="C27">
        <v>4778</v>
      </c>
    </row>
    <row r="28" spans="1:3" x14ac:dyDescent="0.25">
      <c r="A28">
        <v>3130</v>
      </c>
      <c r="C28">
        <v>5293</v>
      </c>
    </row>
    <row r="29" spans="1:3" x14ac:dyDescent="0.25">
      <c r="A29">
        <v>3479</v>
      </c>
      <c r="C29">
        <v>5296</v>
      </c>
    </row>
    <row r="30" spans="1:3" x14ac:dyDescent="0.25">
      <c r="C30">
        <v>0</v>
      </c>
    </row>
    <row r="31" spans="1:3" x14ac:dyDescent="0.25">
      <c r="C31">
        <v>0</v>
      </c>
    </row>
    <row r="32" spans="1:3" x14ac:dyDescent="0.25">
      <c r="C32">
        <v>0</v>
      </c>
    </row>
    <row r="33" spans="3:3" x14ac:dyDescent="0.25">
      <c r="C33">
        <v>0</v>
      </c>
    </row>
    <row r="34" spans="3:3" x14ac:dyDescent="0.25">
      <c r="C34">
        <v>0</v>
      </c>
    </row>
    <row r="35" spans="3:3" x14ac:dyDescent="0.25">
      <c r="C35">
        <v>0</v>
      </c>
    </row>
    <row r="36" spans="3:3" x14ac:dyDescent="0.25">
      <c r="C36">
        <v>0</v>
      </c>
    </row>
    <row r="37" spans="3:3" x14ac:dyDescent="0.25">
      <c r="C37">
        <v>0</v>
      </c>
    </row>
    <row r="38" spans="3:3" x14ac:dyDescent="0.25">
      <c r="C38">
        <v>0</v>
      </c>
    </row>
    <row r="39" spans="3:3" x14ac:dyDescent="0.25">
      <c r="C39">
        <v>0</v>
      </c>
    </row>
    <row r="40" spans="3:3" x14ac:dyDescent="0.25">
      <c r="C40">
        <v>0</v>
      </c>
    </row>
    <row r="41" spans="3:3" x14ac:dyDescent="0.25">
      <c r="C41">
        <v>0</v>
      </c>
    </row>
    <row r="42" spans="3:3" x14ac:dyDescent="0.25">
      <c r="C42">
        <v>0</v>
      </c>
    </row>
    <row r="43" spans="3:3" x14ac:dyDescent="0.25">
      <c r="C43">
        <v>0</v>
      </c>
    </row>
    <row r="44" spans="3:3" x14ac:dyDescent="0.25">
      <c r="C44">
        <v>0</v>
      </c>
    </row>
    <row r="45" spans="3:3" x14ac:dyDescent="0.25">
      <c r="C45">
        <v>0</v>
      </c>
    </row>
    <row r="46" spans="3:3" x14ac:dyDescent="0.25">
      <c r="C46">
        <v>0</v>
      </c>
    </row>
    <row r="47" spans="3:3" x14ac:dyDescent="0.25">
      <c r="C47">
        <v>0</v>
      </c>
    </row>
    <row r="48" spans="3:3" x14ac:dyDescent="0.25">
      <c r="C48">
        <v>0</v>
      </c>
    </row>
    <row r="49" spans="3:3" x14ac:dyDescent="0.25">
      <c r="C49">
        <v>0</v>
      </c>
    </row>
    <row r="50" spans="3:3" x14ac:dyDescent="0.25">
      <c r="C50">
        <v>0</v>
      </c>
    </row>
    <row r="51" spans="3:3" x14ac:dyDescent="0.25">
      <c r="C51">
        <v>0</v>
      </c>
    </row>
    <row r="52" spans="3:3" x14ac:dyDescent="0.25">
      <c r="C52">
        <v>0</v>
      </c>
    </row>
    <row r="53" spans="3:3" x14ac:dyDescent="0.25">
      <c r="C53">
        <v>0</v>
      </c>
    </row>
    <row r="54" spans="3:3" x14ac:dyDescent="0.25">
      <c r="C54">
        <v>0</v>
      </c>
    </row>
    <row r="55" spans="3:3" x14ac:dyDescent="0.25">
      <c r="C55">
        <v>0</v>
      </c>
    </row>
    <row r="56" spans="3:3" x14ac:dyDescent="0.25">
      <c r="C56">
        <v>0</v>
      </c>
    </row>
    <row r="57" spans="3:3" x14ac:dyDescent="0.25">
      <c r="C57">
        <v>0</v>
      </c>
    </row>
    <row r="58" spans="3:3" x14ac:dyDescent="0.25">
      <c r="C58">
        <v>0</v>
      </c>
    </row>
    <row r="59" spans="3:3" x14ac:dyDescent="0.25">
      <c r="C59">
        <v>0</v>
      </c>
    </row>
    <row r="60" spans="3:3" x14ac:dyDescent="0.25">
      <c r="C60">
        <v>0</v>
      </c>
    </row>
    <row r="61" spans="3:3" x14ac:dyDescent="0.25">
      <c r="C61">
        <v>0</v>
      </c>
    </row>
    <row r="62" spans="3:3" x14ac:dyDescent="0.25">
      <c r="C62">
        <v>0</v>
      </c>
    </row>
    <row r="63" spans="3:3" x14ac:dyDescent="0.25">
      <c r="C63">
        <v>0</v>
      </c>
    </row>
    <row r="64" spans="3:3" x14ac:dyDescent="0.25">
      <c r="C64">
        <v>0</v>
      </c>
    </row>
    <row r="65" spans="3:3" x14ac:dyDescent="0.25">
      <c r="C65">
        <v>0</v>
      </c>
    </row>
    <row r="66" spans="3:3" x14ac:dyDescent="0.25">
      <c r="C66">
        <v>0</v>
      </c>
    </row>
    <row r="67" spans="3:3" x14ac:dyDescent="0.25">
      <c r="C67">
        <v>0</v>
      </c>
    </row>
    <row r="68" spans="3:3" x14ac:dyDescent="0.25">
      <c r="C68">
        <v>0</v>
      </c>
    </row>
    <row r="69" spans="3:3" x14ac:dyDescent="0.25">
      <c r="C69">
        <v>0</v>
      </c>
    </row>
    <row r="70" spans="3:3" x14ac:dyDescent="0.25">
      <c r="C70">
        <v>0</v>
      </c>
    </row>
    <row r="71" spans="3:3" x14ac:dyDescent="0.25">
      <c r="C71">
        <v>0</v>
      </c>
    </row>
    <row r="72" spans="3:3" x14ac:dyDescent="0.25">
      <c r="C72">
        <v>0</v>
      </c>
    </row>
    <row r="73" spans="3:3" x14ac:dyDescent="0.25">
      <c r="C73">
        <v>0</v>
      </c>
    </row>
    <row r="74" spans="3:3" x14ac:dyDescent="0.25">
      <c r="C74">
        <v>0</v>
      </c>
    </row>
    <row r="75" spans="3:3" x14ac:dyDescent="0.25">
      <c r="C75">
        <v>0</v>
      </c>
    </row>
    <row r="76" spans="3:3" x14ac:dyDescent="0.25">
      <c r="C76">
        <v>0</v>
      </c>
    </row>
    <row r="77" spans="3:3" x14ac:dyDescent="0.25">
      <c r="C77">
        <v>0</v>
      </c>
    </row>
    <row r="78" spans="3:3" x14ac:dyDescent="0.25">
      <c r="C78">
        <v>0</v>
      </c>
    </row>
    <row r="79" spans="3:3" x14ac:dyDescent="0.25">
      <c r="C79">
        <v>0</v>
      </c>
    </row>
    <row r="80" spans="3:3" x14ac:dyDescent="0.25">
      <c r="C80">
        <v>0</v>
      </c>
    </row>
    <row r="81" spans="3:3" x14ac:dyDescent="0.25">
      <c r="C81">
        <v>0</v>
      </c>
    </row>
    <row r="82" spans="3:3" x14ac:dyDescent="0.25">
      <c r="C82">
        <v>0</v>
      </c>
    </row>
    <row r="83" spans="3:3" x14ac:dyDescent="0.25">
      <c r="C83">
        <v>0</v>
      </c>
    </row>
    <row r="84" spans="3:3" x14ac:dyDescent="0.25">
      <c r="C84">
        <v>0</v>
      </c>
    </row>
    <row r="85" spans="3:3" x14ac:dyDescent="0.25">
      <c r="C85">
        <v>0</v>
      </c>
    </row>
    <row r="86" spans="3:3" x14ac:dyDescent="0.25">
      <c r="C86">
        <v>0</v>
      </c>
    </row>
    <row r="87" spans="3:3" x14ac:dyDescent="0.25">
      <c r="C87">
        <v>0</v>
      </c>
    </row>
    <row r="88" spans="3:3" x14ac:dyDescent="0.25">
      <c r="C88">
        <v>0</v>
      </c>
    </row>
    <row r="89" spans="3:3" x14ac:dyDescent="0.25">
      <c r="C89">
        <v>0</v>
      </c>
    </row>
    <row r="90" spans="3:3" x14ac:dyDescent="0.25">
      <c r="C90">
        <v>0</v>
      </c>
    </row>
    <row r="91" spans="3:3" x14ac:dyDescent="0.25">
      <c r="C91">
        <v>0</v>
      </c>
    </row>
    <row r="92" spans="3:3" x14ac:dyDescent="0.25">
      <c r="C92">
        <v>0</v>
      </c>
    </row>
    <row r="93" spans="3:3" x14ac:dyDescent="0.25">
      <c r="C93">
        <v>0</v>
      </c>
    </row>
    <row r="94" spans="3:3" x14ac:dyDescent="0.25">
      <c r="C94">
        <v>0</v>
      </c>
    </row>
    <row r="95" spans="3:3" x14ac:dyDescent="0.25">
      <c r="C95">
        <v>0</v>
      </c>
    </row>
    <row r="96" spans="3:3" x14ac:dyDescent="0.25">
      <c r="C96">
        <v>0</v>
      </c>
    </row>
    <row r="97" spans="3:3" x14ac:dyDescent="0.25">
      <c r="C97">
        <v>0</v>
      </c>
    </row>
    <row r="98" spans="3:3" x14ac:dyDescent="0.25">
      <c r="C98">
        <v>0</v>
      </c>
    </row>
    <row r="99" spans="3:3" x14ac:dyDescent="0.25">
      <c r="C99">
        <v>0</v>
      </c>
    </row>
    <row r="100" spans="3:3" x14ac:dyDescent="0.25">
      <c r="C100">
        <v>0</v>
      </c>
    </row>
    <row r="101" spans="3:3" x14ac:dyDescent="0.25">
      <c r="C101">
        <v>0</v>
      </c>
    </row>
    <row r="102" spans="3:3" x14ac:dyDescent="0.25">
      <c r="C102">
        <v>0</v>
      </c>
    </row>
    <row r="103" spans="3:3" x14ac:dyDescent="0.25">
      <c r="C103">
        <v>0</v>
      </c>
    </row>
    <row r="104" spans="3:3" x14ac:dyDescent="0.25">
      <c r="C104">
        <v>0</v>
      </c>
    </row>
    <row r="105" spans="3:3" x14ac:dyDescent="0.25">
      <c r="C105">
        <v>0</v>
      </c>
    </row>
    <row r="106" spans="3:3" x14ac:dyDescent="0.25">
      <c r="C106">
        <v>0</v>
      </c>
    </row>
    <row r="107" spans="3:3" x14ac:dyDescent="0.25">
      <c r="C107">
        <v>0</v>
      </c>
    </row>
    <row r="108" spans="3:3" x14ac:dyDescent="0.25">
      <c r="C108">
        <v>0</v>
      </c>
    </row>
    <row r="109" spans="3:3" x14ac:dyDescent="0.25">
      <c r="C109">
        <v>0</v>
      </c>
    </row>
    <row r="110" spans="3:3" x14ac:dyDescent="0.25">
      <c r="C110">
        <v>0</v>
      </c>
    </row>
    <row r="111" spans="3:3" x14ac:dyDescent="0.25">
      <c r="C111">
        <v>0</v>
      </c>
    </row>
    <row r="112" spans="3:3" x14ac:dyDescent="0.25">
      <c r="C112">
        <v>0</v>
      </c>
    </row>
    <row r="113" spans="3:3" x14ac:dyDescent="0.25">
      <c r="C113">
        <v>0</v>
      </c>
    </row>
    <row r="114" spans="3:3" x14ac:dyDescent="0.25">
      <c r="C114">
        <v>0</v>
      </c>
    </row>
    <row r="115" spans="3:3" x14ac:dyDescent="0.25">
      <c r="C115">
        <v>0</v>
      </c>
    </row>
    <row r="116" spans="3:3" x14ac:dyDescent="0.25">
      <c r="C116">
        <v>0</v>
      </c>
    </row>
    <row r="117" spans="3:3" x14ac:dyDescent="0.25">
      <c r="C117">
        <v>0</v>
      </c>
    </row>
    <row r="118" spans="3:3" x14ac:dyDescent="0.25">
      <c r="C118">
        <v>0</v>
      </c>
    </row>
    <row r="119" spans="3:3" x14ac:dyDescent="0.25">
      <c r="C119">
        <v>0</v>
      </c>
    </row>
    <row r="120" spans="3:3" x14ac:dyDescent="0.25">
      <c r="C120">
        <v>0</v>
      </c>
    </row>
    <row r="121" spans="3:3" x14ac:dyDescent="0.25">
      <c r="C121">
        <v>0</v>
      </c>
    </row>
    <row r="122" spans="3:3" x14ac:dyDescent="0.25">
      <c r="C122">
        <v>0</v>
      </c>
    </row>
    <row r="123" spans="3:3" x14ac:dyDescent="0.25">
      <c r="C123">
        <v>0</v>
      </c>
    </row>
    <row r="124" spans="3:3" x14ac:dyDescent="0.25">
      <c r="C124">
        <v>0</v>
      </c>
    </row>
    <row r="125" spans="3:3" x14ac:dyDescent="0.25">
      <c r="C125">
        <v>0</v>
      </c>
    </row>
    <row r="126" spans="3:3" x14ac:dyDescent="0.25">
      <c r="C126">
        <v>0</v>
      </c>
    </row>
    <row r="127" spans="3:3" x14ac:dyDescent="0.25">
      <c r="C127">
        <v>0</v>
      </c>
    </row>
    <row r="128" spans="3:3" x14ac:dyDescent="0.25">
      <c r="C128">
        <v>0</v>
      </c>
    </row>
    <row r="129" spans="3:3" x14ac:dyDescent="0.25">
      <c r="C129">
        <v>0</v>
      </c>
    </row>
    <row r="130" spans="3:3" x14ac:dyDescent="0.25">
      <c r="C130">
        <v>0</v>
      </c>
    </row>
    <row r="131" spans="3:3" x14ac:dyDescent="0.25">
      <c r="C131">
        <v>0</v>
      </c>
    </row>
    <row r="132" spans="3:3" x14ac:dyDescent="0.25">
      <c r="C132">
        <v>0</v>
      </c>
    </row>
    <row r="133" spans="3:3" x14ac:dyDescent="0.25">
      <c r="C133">
        <v>0</v>
      </c>
    </row>
    <row r="134" spans="3:3" x14ac:dyDescent="0.25">
      <c r="C134">
        <v>0</v>
      </c>
    </row>
    <row r="135" spans="3:3" x14ac:dyDescent="0.25">
      <c r="C135">
        <v>0</v>
      </c>
    </row>
    <row r="136" spans="3:3" x14ac:dyDescent="0.25">
      <c r="C136">
        <v>0</v>
      </c>
    </row>
    <row r="137" spans="3:3" x14ac:dyDescent="0.25">
      <c r="C137">
        <v>0</v>
      </c>
    </row>
    <row r="138" spans="3:3" x14ac:dyDescent="0.25">
      <c r="C138">
        <v>0</v>
      </c>
    </row>
    <row r="139" spans="3:3" x14ac:dyDescent="0.25">
      <c r="C139">
        <v>0</v>
      </c>
    </row>
    <row r="140" spans="3:3" x14ac:dyDescent="0.25">
      <c r="C140">
        <v>0</v>
      </c>
    </row>
    <row r="141" spans="3:3" x14ac:dyDescent="0.25">
      <c r="C141">
        <v>0</v>
      </c>
    </row>
    <row r="142" spans="3:3" x14ac:dyDescent="0.25">
      <c r="C142">
        <v>0</v>
      </c>
    </row>
    <row r="143" spans="3:3" x14ac:dyDescent="0.25">
      <c r="C143">
        <v>0</v>
      </c>
    </row>
    <row r="144" spans="3:3" x14ac:dyDescent="0.25">
      <c r="C144">
        <v>0</v>
      </c>
    </row>
    <row r="145" spans="3:3" x14ac:dyDescent="0.25">
      <c r="C145">
        <v>0</v>
      </c>
    </row>
    <row r="146" spans="3:3" x14ac:dyDescent="0.25">
      <c r="C146">
        <v>0</v>
      </c>
    </row>
    <row r="147" spans="3:3" x14ac:dyDescent="0.25">
      <c r="C147">
        <v>0</v>
      </c>
    </row>
    <row r="148" spans="3:3" x14ac:dyDescent="0.25">
      <c r="C148">
        <v>0</v>
      </c>
    </row>
    <row r="149" spans="3:3" x14ac:dyDescent="0.25">
      <c r="C149">
        <v>0</v>
      </c>
    </row>
    <row r="150" spans="3:3" x14ac:dyDescent="0.25">
      <c r="C150">
        <v>0</v>
      </c>
    </row>
    <row r="151" spans="3:3" x14ac:dyDescent="0.25">
      <c r="C151">
        <v>0</v>
      </c>
    </row>
    <row r="152" spans="3:3" x14ac:dyDescent="0.25">
      <c r="C152">
        <v>0</v>
      </c>
    </row>
    <row r="153" spans="3:3" x14ac:dyDescent="0.25">
      <c r="C153">
        <v>0</v>
      </c>
    </row>
    <row r="154" spans="3:3" x14ac:dyDescent="0.25">
      <c r="C154">
        <v>0</v>
      </c>
    </row>
    <row r="155" spans="3:3" x14ac:dyDescent="0.25">
      <c r="C155">
        <v>0</v>
      </c>
    </row>
    <row r="156" spans="3:3" x14ac:dyDescent="0.25">
      <c r="C156">
        <v>0</v>
      </c>
    </row>
    <row r="157" spans="3:3" x14ac:dyDescent="0.25">
      <c r="C157">
        <v>0</v>
      </c>
    </row>
    <row r="158" spans="3:3" x14ac:dyDescent="0.25">
      <c r="C158">
        <v>0</v>
      </c>
    </row>
    <row r="159" spans="3:3" x14ac:dyDescent="0.25">
      <c r="C159">
        <v>0</v>
      </c>
    </row>
    <row r="160" spans="3:3" x14ac:dyDescent="0.25">
      <c r="C160">
        <v>0</v>
      </c>
    </row>
    <row r="161" spans="3:3" x14ac:dyDescent="0.25">
      <c r="C161">
        <v>0</v>
      </c>
    </row>
    <row r="162" spans="3:3" x14ac:dyDescent="0.25">
      <c r="C162">
        <v>0</v>
      </c>
    </row>
    <row r="163" spans="3:3" x14ac:dyDescent="0.25">
      <c r="C163">
        <v>0</v>
      </c>
    </row>
    <row r="164" spans="3:3" x14ac:dyDescent="0.25">
      <c r="C164">
        <v>0</v>
      </c>
    </row>
    <row r="165" spans="3:3" x14ac:dyDescent="0.25">
      <c r="C165">
        <v>0</v>
      </c>
    </row>
    <row r="166" spans="3:3" x14ac:dyDescent="0.25">
      <c r="C166">
        <v>0</v>
      </c>
    </row>
    <row r="167" spans="3:3" x14ac:dyDescent="0.25">
      <c r="C167">
        <v>0</v>
      </c>
    </row>
    <row r="168" spans="3:3" x14ac:dyDescent="0.25">
      <c r="C168">
        <v>0</v>
      </c>
    </row>
    <row r="169" spans="3:3" x14ac:dyDescent="0.25">
      <c r="C169">
        <v>0</v>
      </c>
    </row>
    <row r="170" spans="3:3" x14ac:dyDescent="0.25">
      <c r="C170">
        <v>0</v>
      </c>
    </row>
    <row r="171" spans="3:3" x14ac:dyDescent="0.25">
      <c r="C171">
        <v>0</v>
      </c>
    </row>
    <row r="172" spans="3:3" x14ac:dyDescent="0.25">
      <c r="C172">
        <v>0</v>
      </c>
    </row>
    <row r="173" spans="3:3" x14ac:dyDescent="0.25">
      <c r="C173">
        <v>0</v>
      </c>
    </row>
    <row r="174" spans="3:3" x14ac:dyDescent="0.25">
      <c r="C174">
        <v>0</v>
      </c>
    </row>
    <row r="175" spans="3:3" x14ac:dyDescent="0.25">
      <c r="C175">
        <v>0</v>
      </c>
    </row>
    <row r="176" spans="3:3" x14ac:dyDescent="0.25">
      <c r="C176">
        <v>0</v>
      </c>
    </row>
    <row r="177" spans="3:3" x14ac:dyDescent="0.25">
      <c r="C177">
        <v>0</v>
      </c>
    </row>
    <row r="178" spans="3:3" x14ac:dyDescent="0.25">
      <c r="C178">
        <v>0</v>
      </c>
    </row>
    <row r="179" spans="3:3" x14ac:dyDescent="0.25">
      <c r="C179">
        <v>0</v>
      </c>
    </row>
    <row r="180" spans="3:3" x14ac:dyDescent="0.25">
      <c r="C180">
        <v>0</v>
      </c>
    </row>
    <row r="181" spans="3:3" x14ac:dyDescent="0.25">
      <c r="C181">
        <v>0</v>
      </c>
    </row>
    <row r="182" spans="3:3" x14ac:dyDescent="0.25">
      <c r="C182">
        <v>0</v>
      </c>
    </row>
    <row r="183" spans="3:3" x14ac:dyDescent="0.25">
      <c r="C183">
        <v>0</v>
      </c>
    </row>
    <row r="184" spans="3:3" x14ac:dyDescent="0.25">
      <c r="C184">
        <v>0</v>
      </c>
    </row>
    <row r="185" spans="3:3" x14ac:dyDescent="0.25">
      <c r="C185">
        <v>0</v>
      </c>
    </row>
    <row r="186" spans="3:3" x14ac:dyDescent="0.25">
      <c r="C186">
        <v>0</v>
      </c>
    </row>
    <row r="187" spans="3:3" x14ac:dyDescent="0.25">
      <c r="C187">
        <v>0</v>
      </c>
    </row>
    <row r="188" spans="3:3" x14ac:dyDescent="0.25">
      <c r="C188">
        <v>0</v>
      </c>
    </row>
    <row r="189" spans="3:3" x14ac:dyDescent="0.25">
      <c r="C189">
        <v>0</v>
      </c>
    </row>
    <row r="190" spans="3:3" x14ac:dyDescent="0.25">
      <c r="C190">
        <v>0</v>
      </c>
    </row>
    <row r="191" spans="3:3" x14ac:dyDescent="0.25">
      <c r="C191">
        <v>0</v>
      </c>
    </row>
    <row r="192" spans="3:3" x14ac:dyDescent="0.25">
      <c r="C192">
        <v>0</v>
      </c>
    </row>
    <row r="193" spans="3:3" x14ac:dyDescent="0.25">
      <c r="C193">
        <v>0</v>
      </c>
    </row>
    <row r="194" spans="3:3" x14ac:dyDescent="0.25">
      <c r="C194">
        <v>0</v>
      </c>
    </row>
    <row r="195" spans="3:3" x14ac:dyDescent="0.25">
      <c r="C195">
        <v>0</v>
      </c>
    </row>
    <row r="196" spans="3:3" x14ac:dyDescent="0.25">
      <c r="C196">
        <v>0</v>
      </c>
    </row>
    <row r="197" spans="3:3" x14ac:dyDescent="0.25">
      <c r="C197">
        <v>0</v>
      </c>
    </row>
    <row r="198" spans="3:3" x14ac:dyDescent="0.25">
      <c r="C198">
        <v>0</v>
      </c>
    </row>
    <row r="199" spans="3:3" x14ac:dyDescent="0.25">
      <c r="C199">
        <v>0</v>
      </c>
    </row>
    <row r="200" spans="3:3" x14ac:dyDescent="0.25">
      <c r="C200">
        <v>0</v>
      </c>
    </row>
    <row r="201" spans="3:3" x14ac:dyDescent="0.25">
      <c r="C201">
        <v>0</v>
      </c>
    </row>
    <row r="202" spans="3:3" x14ac:dyDescent="0.25">
      <c r="C202">
        <v>0</v>
      </c>
    </row>
    <row r="203" spans="3:3" x14ac:dyDescent="0.25">
      <c r="C203">
        <v>0</v>
      </c>
    </row>
    <row r="204" spans="3:3" x14ac:dyDescent="0.25">
      <c r="C204">
        <v>0</v>
      </c>
    </row>
    <row r="205" spans="3:3" x14ac:dyDescent="0.25">
      <c r="C205">
        <v>0</v>
      </c>
    </row>
    <row r="206" spans="3:3" x14ac:dyDescent="0.25">
      <c r="C206">
        <v>0</v>
      </c>
    </row>
    <row r="207" spans="3:3" x14ac:dyDescent="0.25">
      <c r="C207">
        <v>0</v>
      </c>
    </row>
    <row r="208" spans="3:3" x14ac:dyDescent="0.25">
      <c r="C208">
        <v>0</v>
      </c>
    </row>
    <row r="209" spans="3:3" x14ac:dyDescent="0.25">
      <c r="C209">
        <v>0</v>
      </c>
    </row>
    <row r="210" spans="3:3" x14ac:dyDescent="0.25">
      <c r="C210">
        <v>0</v>
      </c>
    </row>
    <row r="211" spans="3:3" x14ac:dyDescent="0.25">
      <c r="C211">
        <v>0</v>
      </c>
    </row>
    <row r="212" spans="3:3" x14ac:dyDescent="0.25">
      <c r="C212">
        <v>0</v>
      </c>
    </row>
    <row r="213" spans="3:3" x14ac:dyDescent="0.25">
      <c r="C213">
        <v>0</v>
      </c>
    </row>
    <row r="214" spans="3:3" x14ac:dyDescent="0.25">
      <c r="C214">
        <v>0</v>
      </c>
    </row>
    <row r="215" spans="3:3" x14ac:dyDescent="0.25">
      <c r="C215">
        <v>0</v>
      </c>
    </row>
    <row r="216" spans="3:3" x14ac:dyDescent="0.25">
      <c r="C216">
        <v>0</v>
      </c>
    </row>
    <row r="217" spans="3:3" x14ac:dyDescent="0.25">
      <c r="C21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E7525-7128-4EEE-9DA7-3C83DF3836C4}">
  <sheetPr codeName="Sheet4"/>
  <dimension ref="A1:B27"/>
  <sheetViews>
    <sheetView workbookViewId="0">
      <selection activeCell="D10" sqref="D10"/>
    </sheetView>
  </sheetViews>
  <sheetFormatPr defaultRowHeight="15" x14ac:dyDescent="0.25"/>
  <cols>
    <col min="1" max="2" width="11" customWidth="1"/>
  </cols>
  <sheetData>
    <row r="1" spans="1:2" x14ac:dyDescent="0.25">
      <c r="A1" t="s">
        <v>54</v>
      </c>
      <c r="B1" t="s">
        <v>55</v>
      </c>
    </row>
    <row r="2" spans="1:2" x14ac:dyDescent="0.25">
      <c r="A2">
        <v>1740</v>
      </c>
      <c r="B2" t="s">
        <v>52</v>
      </c>
    </row>
    <row r="3" spans="1:2" x14ac:dyDescent="0.25">
      <c r="A3">
        <v>1743</v>
      </c>
      <c r="B3" t="s">
        <v>52</v>
      </c>
    </row>
    <row r="4" spans="1:2" x14ac:dyDescent="0.25">
      <c r="A4">
        <v>2172</v>
      </c>
      <c r="B4" t="s">
        <v>52</v>
      </c>
    </row>
    <row r="5" spans="1:2" x14ac:dyDescent="0.25">
      <c r="A5">
        <v>2174</v>
      </c>
      <c r="B5" t="s">
        <v>52</v>
      </c>
    </row>
    <row r="6" spans="1:2" x14ac:dyDescent="0.25">
      <c r="A6">
        <v>2208</v>
      </c>
      <c r="B6" t="s">
        <v>53</v>
      </c>
    </row>
    <row r="7" spans="1:2" x14ac:dyDescent="0.25">
      <c r="A7">
        <v>2236</v>
      </c>
      <c r="B7" t="s">
        <v>52</v>
      </c>
    </row>
    <row r="8" spans="1:2" x14ac:dyDescent="0.25">
      <c r="A8">
        <v>2272</v>
      </c>
      <c r="B8" t="s">
        <v>52</v>
      </c>
    </row>
    <row r="9" spans="1:2" x14ac:dyDescent="0.25">
      <c r="A9">
        <v>2306</v>
      </c>
      <c r="B9" t="s">
        <v>53</v>
      </c>
    </row>
    <row r="10" spans="1:2" x14ac:dyDescent="0.25">
      <c r="A10">
        <v>2325</v>
      </c>
      <c r="B10" t="s">
        <v>53</v>
      </c>
    </row>
    <row r="11" spans="1:2" x14ac:dyDescent="0.25">
      <c r="A11">
        <v>2457</v>
      </c>
      <c r="B11" t="s">
        <v>52</v>
      </c>
    </row>
    <row r="12" spans="1:2" x14ac:dyDescent="0.25">
      <c r="A12">
        <v>2478</v>
      </c>
      <c r="B12" t="s">
        <v>53</v>
      </c>
    </row>
    <row r="13" spans="1:2" x14ac:dyDescent="0.25">
      <c r="A13">
        <v>2549</v>
      </c>
      <c r="B13" t="s">
        <v>52</v>
      </c>
    </row>
    <row r="14" spans="1:2" x14ac:dyDescent="0.25">
      <c r="A14">
        <v>2603</v>
      </c>
      <c r="B14" t="s">
        <v>52</v>
      </c>
    </row>
    <row r="15" spans="1:2" x14ac:dyDescent="0.25">
      <c r="A15">
        <v>2612</v>
      </c>
      <c r="B15" t="s">
        <v>53</v>
      </c>
    </row>
    <row r="16" spans="1:2" x14ac:dyDescent="0.25">
      <c r="A16">
        <v>2618</v>
      </c>
      <c r="B16" t="s">
        <v>53</v>
      </c>
    </row>
    <row r="17" spans="1:2" x14ac:dyDescent="0.25">
      <c r="A17">
        <v>2687</v>
      </c>
      <c r="B17" t="s">
        <v>53</v>
      </c>
    </row>
    <row r="18" spans="1:2" x14ac:dyDescent="0.25">
      <c r="A18">
        <v>2921</v>
      </c>
      <c r="B18" t="s">
        <v>53</v>
      </c>
    </row>
    <row r="19" spans="1:2" x14ac:dyDescent="0.25">
      <c r="A19">
        <v>2953</v>
      </c>
      <c r="B19" t="s">
        <v>52</v>
      </c>
    </row>
    <row r="20" spans="1:2" x14ac:dyDescent="0.25">
      <c r="A20">
        <v>3015</v>
      </c>
      <c r="B20" t="s">
        <v>53</v>
      </c>
    </row>
    <row r="21" spans="1:2" x14ac:dyDescent="0.25">
      <c r="A21">
        <v>3130</v>
      </c>
      <c r="B21" t="s">
        <v>53</v>
      </c>
    </row>
    <row r="22" spans="1:2" x14ac:dyDescent="0.25">
      <c r="A22">
        <v>3479</v>
      </c>
      <c r="B22" t="s">
        <v>53</v>
      </c>
    </row>
    <row r="23" spans="1:2" x14ac:dyDescent="0.25">
      <c r="A23">
        <v>3498</v>
      </c>
      <c r="B23" t="s">
        <v>52</v>
      </c>
    </row>
    <row r="24" spans="1:2" x14ac:dyDescent="0.25">
      <c r="A24">
        <v>4405</v>
      </c>
      <c r="B24" t="s">
        <v>53</v>
      </c>
    </row>
    <row r="25" spans="1:2" x14ac:dyDescent="0.25">
      <c r="A25">
        <v>4778</v>
      </c>
      <c r="B25" t="s">
        <v>52</v>
      </c>
    </row>
    <row r="26" spans="1:2" x14ac:dyDescent="0.25">
      <c r="A26">
        <v>5293</v>
      </c>
      <c r="B26" t="s">
        <v>53</v>
      </c>
    </row>
    <row r="27" spans="1:2" x14ac:dyDescent="0.25">
      <c r="A27">
        <v>5296</v>
      </c>
      <c r="B27" t="s">
        <v>53</v>
      </c>
    </row>
  </sheetData>
  <sortState xmlns:xlrd2="http://schemas.microsoft.com/office/spreadsheetml/2017/richdata2" ref="A2:A27">
    <sortCondition ref="A2:A27"/>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1FC17-7F0A-4BB3-BB94-113EE8C248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Buttons</vt:lpstr>
      <vt:lpstr>Pivot</vt:lpstr>
      <vt:lpstr>Unique Offer Titles</vt:lpstr>
      <vt:lpstr>data</vt:lpstr>
      <vt:lpstr>Reference</vt:lpstr>
      <vt:lpstr>gdd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Steele</dc:creator>
  <cp:lastModifiedBy>Justin Druet</cp:lastModifiedBy>
  <dcterms:created xsi:type="dcterms:W3CDTF">2023-11-16T20:16:50Z</dcterms:created>
  <dcterms:modified xsi:type="dcterms:W3CDTF">2024-05-06T23:44:57Z</dcterms:modified>
</cp:coreProperties>
</file>