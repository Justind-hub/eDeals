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d.docs.live.net/b3ca9b0ae93607b4/Desktop/Python/projects/eDeals/"/>
    </mc:Choice>
  </mc:AlternateContent>
  <xr:revisionPtr revIDLastSave="136" documentId="8_{2E8EA9B3-9D79-4F1C-9770-5937069BEA32}" xr6:coauthVersionLast="47" xr6:coauthVersionMax="47" xr10:uidLastSave="{29A9A5C1-5474-4145-B3DB-C05A756797F1}"/>
  <bookViews>
    <workbookView xWindow="17685" yWindow="8010" windowWidth="31110" windowHeight="15930" activeTab="1" xr2:uid="{8F4DD1F8-308C-4C6B-907A-83070892C3C6}"/>
  </bookViews>
  <sheets>
    <sheet name="Buttons" sheetId="7" r:id="rId1"/>
    <sheet name="Pivot" sheetId="3" r:id="rId2"/>
    <sheet name="Unique Offer Titles" sheetId="5" r:id="rId3"/>
    <sheet name="data" sheetId="2" r:id="rId4"/>
    <sheet name="Reference" sheetId="1" state="hidden" r:id="rId5"/>
    <sheet name="gdd" sheetId="4" state="hidden" r:id="rId6"/>
  </sheets>
  <definedNames>
    <definedName name="ExternalData_1" localSheetId="3" hidden="1">data!$A$1:$G$414</definedName>
  </definedNames>
  <calcPr calcId="191029"/>
  <pivotCaches>
    <pivotCache cacheId="49"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9" i="5" l="1" a="1"/>
  <c r="C59" i="5" s="1"/>
  <c r="D59" i="5" a="1"/>
  <c r="D59" i="5"/>
  <c r="E59" i="5" a="1"/>
  <c r="E59" i="5" s="1"/>
  <c r="C60" i="5" a="1"/>
  <c r="C60" i="5"/>
  <c r="D60" i="5" a="1"/>
  <c r="D60" i="5"/>
  <c r="E60" i="5" a="1"/>
  <c r="E60" i="5"/>
  <c r="C61" i="5" a="1"/>
  <c r="C61" i="5"/>
  <c r="D61" i="5" a="1"/>
  <c r="D61" i="5"/>
  <c r="E61" i="5" a="1"/>
  <c r="E61" i="5"/>
  <c r="C62" i="5" a="1"/>
  <c r="C62" i="5"/>
  <c r="D62" i="5" a="1"/>
  <c r="D62" i="5" s="1"/>
  <c r="E62" i="5" a="1"/>
  <c r="E62" i="5"/>
  <c r="C63" i="5" a="1"/>
  <c r="C63" i="5"/>
  <c r="D63" i="5" a="1"/>
  <c r="D63" i="5"/>
  <c r="E63" i="5" a="1"/>
  <c r="E63" i="5"/>
  <c r="C64" i="5" a="1"/>
  <c r="C64" i="5"/>
  <c r="D64" i="5" a="1"/>
  <c r="D64" i="5" s="1"/>
  <c r="E64" i="5" a="1"/>
  <c r="E64" i="5"/>
  <c r="C65" i="5" a="1"/>
  <c r="C65" i="5" s="1"/>
  <c r="D65" i="5" a="1"/>
  <c r="D65" i="5"/>
  <c r="E65" i="5" a="1"/>
  <c r="E65" i="5"/>
  <c r="C66" i="5" a="1"/>
  <c r="C66" i="5"/>
  <c r="D66" i="5" a="1"/>
  <c r="D66" i="5"/>
  <c r="E66" i="5" a="1"/>
  <c r="E66" i="5"/>
  <c r="C67" i="5" a="1"/>
  <c r="C67" i="5"/>
  <c r="D67" i="5" a="1"/>
  <c r="D67" i="5"/>
  <c r="E67" i="5" a="1"/>
  <c r="E67" i="5" s="1"/>
  <c r="C68" i="5" a="1"/>
  <c r="C68" i="5"/>
  <c r="D68" i="5" a="1"/>
  <c r="D68" i="5" s="1"/>
  <c r="E68" i="5" a="1"/>
  <c r="E68" i="5" s="1"/>
  <c r="C69" i="5" a="1"/>
  <c r="C69" i="5"/>
  <c r="D69" i="5" a="1"/>
  <c r="D69" i="5"/>
  <c r="E69" i="5" a="1"/>
  <c r="E69" i="5" s="1"/>
  <c r="C70" i="5" a="1"/>
  <c r="C70" i="5"/>
  <c r="D70" i="5" a="1"/>
  <c r="D70" i="5" s="1"/>
  <c r="E70" i="5" a="1"/>
  <c r="E70" i="5"/>
  <c r="C71" i="5" a="1"/>
  <c r="C71" i="5"/>
  <c r="D71" i="5" a="1"/>
  <c r="D71" i="5" s="1"/>
  <c r="E71" i="5" a="1"/>
  <c r="E71" i="5"/>
  <c r="C72" i="5" a="1"/>
  <c r="C72" i="5"/>
  <c r="D72" i="5" a="1"/>
  <c r="D72" i="5"/>
  <c r="E72" i="5" a="1"/>
  <c r="E72" i="5"/>
  <c r="C73" i="5" a="1"/>
  <c r="C73" i="5" s="1"/>
  <c r="D73" i="5" a="1"/>
  <c r="D73" i="5"/>
  <c r="E73" i="5" a="1"/>
  <c r="E73" i="5"/>
  <c r="C74" i="5" a="1"/>
  <c r="C74" i="5"/>
  <c r="D74" i="5" a="1"/>
  <c r="D74" i="5"/>
  <c r="E74" i="5" a="1"/>
  <c r="E74" i="5"/>
  <c r="C75" i="5" a="1"/>
  <c r="C75" i="5" s="1"/>
  <c r="D75" i="5" a="1"/>
  <c r="D75" i="5"/>
  <c r="E75" i="5" a="1"/>
  <c r="E75" i="5" s="1"/>
  <c r="C76" i="5" a="1"/>
  <c r="C76" i="5"/>
  <c r="D76" i="5" a="1"/>
  <c r="D76" i="5"/>
  <c r="E76" i="5" a="1"/>
  <c r="E76" i="5" s="1"/>
  <c r="C77" i="5" a="1"/>
  <c r="C77" i="5"/>
  <c r="D77" i="5" a="1"/>
  <c r="D77" i="5"/>
  <c r="E77" i="5" a="1"/>
  <c r="E77" i="5"/>
  <c r="C78" i="5" a="1"/>
  <c r="C78" i="5"/>
  <c r="D78" i="5" a="1"/>
  <c r="D78" i="5" s="1"/>
  <c r="E78" i="5" a="1"/>
  <c r="E78" i="5"/>
  <c r="C79" i="5" a="1"/>
  <c r="C79" i="5"/>
  <c r="D79" i="5" a="1"/>
  <c r="D79" i="5"/>
  <c r="E79" i="5" a="1"/>
  <c r="E79" i="5"/>
  <c r="C80" i="5" a="1"/>
  <c r="C80" i="5" s="1"/>
  <c r="D80" i="5" a="1"/>
  <c r="D80" i="5" s="1"/>
  <c r="E80" i="5" a="1"/>
  <c r="E80" i="5"/>
  <c r="C81" i="5" a="1"/>
  <c r="C81" i="5" s="1"/>
  <c r="D81" i="5" a="1"/>
  <c r="D81" i="5"/>
  <c r="E81" i="5" a="1"/>
  <c r="E81" i="5"/>
  <c r="C82" i="5" a="1"/>
  <c r="C82" i="5"/>
  <c r="D82" i="5" a="1"/>
  <c r="D82" i="5"/>
  <c r="E82" i="5" a="1"/>
  <c r="E82" i="5"/>
  <c r="C83" i="5" a="1"/>
  <c r="C83" i="5"/>
  <c r="D83" i="5" a="1"/>
  <c r="D83" i="5"/>
  <c r="E83" i="5" a="1"/>
  <c r="E83" i="5" s="1"/>
  <c r="C84" i="5" a="1"/>
  <c r="C84" i="5"/>
  <c r="D84" i="5" a="1"/>
  <c r="D84" i="5"/>
  <c r="E84" i="5" a="1"/>
  <c r="E84" i="5"/>
  <c r="C85" i="5" a="1"/>
  <c r="C85" i="5"/>
  <c r="D85" i="5" a="1"/>
  <c r="D85" i="5"/>
  <c r="E85" i="5" a="1"/>
  <c r="E85" i="5" s="1"/>
  <c r="C86" i="5" a="1"/>
  <c r="C86" i="5" s="1"/>
  <c r="D86" i="5" a="1"/>
  <c r="D86" i="5" s="1"/>
  <c r="E86" i="5" a="1"/>
  <c r="E86" i="5"/>
  <c r="C87" i="5" a="1"/>
  <c r="C87" i="5"/>
  <c r="D87" i="5" a="1"/>
  <c r="D87" i="5"/>
  <c r="E87" i="5" a="1"/>
  <c r="E87" i="5"/>
  <c r="C88" i="5" a="1"/>
  <c r="C88" i="5"/>
  <c r="D88" i="5" a="1"/>
  <c r="D88" i="5" s="1"/>
  <c r="E88" i="5" a="1"/>
  <c r="E88" i="5"/>
  <c r="C89" i="5" a="1"/>
  <c r="C89" i="5" s="1"/>
  <c r="D89" i="5" a="1"/>
  <c r="D89" i="5"/>
  <c r="E89" i="5" a="1"/>
  <c r="E89" i="5"/>
  <c r="C90" i="5" a="1"/>
  <c r="C90" i="5"/>
  <c r="D90" i="5" a="1"/>
  <c r="D90" i="5"/>
  <c r="E90" i="5" a="1"/>
  <c r="E90" i="5"/>
  <c r="C91" i="5" a="1"/>
  <c r="C91" i="5" s="1"/>
  <c r="D91" i="5" a="1"/>
  <c r="D91" i="5"/>
  <c r="E91" i="5" a="1"/>
  <c r="E91" i="5" s="1"/>
  <c r="C92" i="5" a="1"/>
  <c r="C92" i="5" s="1"/>
  <c r="D92" i="5" a="1"/>
  <c r="D92" i="5" s="1"/>
  <c r="E92" i="5" a="1"/>
  <c r="E92" i="5"/>
  <c r="C93" i="5" a="1"/>
  <c r="C93" i="5"/>
  <c r="D93" i="5" a="1"/>
  <c r="D93" i="5"/>
  <c r="E93" i="5" a="1"/>
  <c r="E93" i="5"/>
  <c r="C94" i="5" a="1"/>
  <c r="C94" i="5"/>
  <c r="D94" i="5" a="1"/>
  <c r="D94" i="5" s="1"/>
  <c r="E94" i="5" a="1"/>
  <c r="E94" i="5"/>
  <c r="C95" i="5" a="1"/>
  <c r="C95" i="5"/>
  <c r="D95" i="5" a="1"/>
  <c r="D95" i="5"/>
  <c r="E95" i="5" a="1"/>
  <c r="E95" i="5"/>
  <c r="C96" i="5" a="1"/>
  <c r="C96" i="5"/>
  <c r="D96" i="5" a="1"/>
  <c r="D96" i="5" s="1"/>
  <c r="E96" i="5" a="1"/>
  <c r="E96" i="5"/>
  <c r="C97" i="5" a="1"/>
  <c r="C97" i="5" s="1"/>
  <c r="D97" i="5" a="1"/>
  <c r="D97" i="5"/>
  <c r="E97" i="5" a="1"/>
  <c r="E97" i="5"/>
  <c r="C98" i="5" a="1"/>
  <c r="C98" i="5"/>
  <c r="D98" i="5" a="1"/>
  <c r="D98" i="5"/>
  <c r="E98" i="5" a="1"/>
  <c r="E98" i="5"/>
  <c r="C99" i="5" a="1"/>
  <c r="C99" i="5"/>
  <c r="D99" i="5" a="1"/>
  <c r="D99" i="5"/>
  <c r="E99" i="5" a="1"/>
  <c r="E99" i="5" s="1"/>
  <c r="C100" i="5" a="1"/>
  <c r="C100" i="5"/>
  <c r="D100" i="5" a="1"/>
  <c r="D100" i="5"/>
  <c r="E100" i="5" a="1"/>
  <c r="E100" i="5"/>
  <c r="C101" i="5" a="1"/>
  <c r="C101" i="5"/>
  <c r="D101" i="5" a="1"/>
  <c r="D101" i="5"/>
  <c r="E101" i="5" a="1"/>
  <c r="E101" i="5" s="1"/>
  <c r="C102" i="5" a="1"/>
  <c r="C102" i="5"/>
  <c r="D102" i="5" a="1"/>
  <c r="D102" i="5" s="1"/>
  <c r="E102" i="5" a="1"/>
  <c r="E102" i="5"/>
  <c r="C103" i="5" a="1"/>
  <c r="C103" i="5"/>
  <c r="D103" i="5" a="1"/>
  <c r="D103" i="5"/>
  <c r="E103" i="5" a="1"/>
  <c r="E103" i="5" s="1"/>
  <c r="C104" i="5" a="1"/>
  <c r="C104" i="5" s="1"/>
  <c r="D104" i="5" a="1"/>
  <c r="D104" i="5"/>
  <c r="E104" i="5" a="1"/>
  <c r="E104" i="5"/>
  <c r="C105" i="5" a="1"/>
  <c r="C105" i="5" s="1"/>
  <c r="D105" i="5" a="1"/>
  <c r="D105" i="5"/>
  <c r="E105" i="5" a="1"/>
  <c r="E105" i="5"/>
  <c r="C106" i="5" a="1"/>
  <c r="C106" i="5" s="1"/>
  <c r="D106" i="5" a="1"/>
  <c r="D106" i="5"/>
  <c r="E106" i="5" a="1"/>
  <c r="E106" i="5"/>
  <c r="C107" i="5" a="1"/>
  <c r="C107" i="5" s="1"/>
  <c r="D107" i="5" a="1"/>
  <c r="D107" i="5"/>
  <c r="E107" i="5" a="1"/>
  <c r="E107" i="5" s="1"/>
  <c r="C108" i="5" a="1"/>
  <c r="C108" i="5"/>
  <c r="D108" i="5" a="1"/>
  <c r="D108" i="5"/>
  <c r="E108" i="5" a="1"/>
  <c r="E108" i="5"/>
  <c r="C109" i="5" a="1"/>
  <c r="C109" i="5"/>
  <c r="D109" i="5" a="1"/>
  <c r="D109" i="5"/>
  <c r="E109" i="5" a="1"/>
  <c r="E109" i="5"/>
  <c r="C110" i="5" a="1"/>
  <c r="C110" i="5"/>
  <c r="D110" i="5" a="1"/>
  <c r="D110" i="5" s="1"/>
  <c r="E110" i="5" a="1"/>
  <c r="E110" i="5"/>
  <c r="C111" i="5" a="1"/>
  <c r="C111" i="5"/>
  <c r="D111" i="5" a="1"/>
  <c r="D111" i="5"/>
  <c r="E111" i="5" a="1"/>
  <c r="E111" i="5"/>
  <c r="C112" i="5" a="1"/>
  <c r="C112" i="5"/>
  <c r="D112" i="5" a="1"/>
  <c r="D112" i="5" s="1"/>
  <c r="E112" i="5" a="1"/>
  <c r="E112" i="5"/>
  <c r="C113" i="5" a="1"/>
  <c r="C113" i="5" s="1"/>
  <c r="D113" i="5" a="1"/>
  <c r="D113" i="5"/>
  <c r="E113" i="5" a="1"/>
  <c r="E113" i="5"/>
  <c r="C114" i="5" a="1"/>
  <c r="C114" i="5"/>
  <c r="D114" i="5" a="1"/>
  <c r="D114" i="5"/>
  <c r="E114" i="5" a="1"/>
  <c r="E114" i="5"/>
  <c r="C115" i="5" a="1"/>
  <c r="C115" i="5"/>
  <c r="D115" i="5" a="1"/>
  <c r="D115" i="5" s="1"/>
  <c r="E115" i="5" a="1"/>
  <c r="E115" i="5" s="1"/>
  <c r="C116" i="5" a="1"/>
  <c r="C116" i="5"/>
  <c r="D116" i="5" a="1"/>
  <c r="D116" i="5"/>
  <c r="E116" i="5" a="1"/>
  <c r="E116" i="5"/>
  <c r="C117" i="5" a="1"/>
  <c r="C117" i="5"/>
  <c r="D117" i="5" a="1"/>
  <c r="D117" i="5"/>
  <c r="E117" i="5" a="1"/>
  <c r="E117" i="5" s="1"/>
  <c r="C118" i="5" a="1"/>
  <c r="C118" i="5"/>
  <c r="D118" i="5" a="1"/>
  <c r="D118" i="5" s="1"/>
  <c r="E118" i="5" a="1"/>
  <c r="E118" i="5"/>
  <c r="C119" i="5" a="1"/>
  <c r="C119" i="5"/>
  <c r="D119" i="5" a="1"/>
  <c r="D119" i="5"/>
  <c r="E119" i="5" a="1"/>
  <c r="E119" i="5"/>
  <c r="C120" i="5" a="1"/>
  <c r="C120" i="5"/>
  <c r="D120" i="5" a="1"/>
  <c r="D120" i="5"/>
  <c r="E120" i="5" a="1"/>
  <c r="E120" i="5"/>
  <c r="C121" i="5" a="1"/>
  <c r="C121" i="5" s="1"/>
  <c r="D121" i="5" a="1"/>
  <c r="D121" i="5" s="1"/>
  <c r="E121" i="5" a="1"/>
  <c r="E121" i="5" s="1"/>
  <c r="C122" i="5" a="1"/>
  <c r="C122" i="5"/>
  <c r="D122" i="5" a="1"/>
  <c r="D122" i="5"/>
  <c r="E122" i="5" a="1"/>
  <c r="E122" i="5"/>
  <c r="C123" i="5" a="1"/>
  <c r="C123" i="5" s="1"/>
  <c r="D123" i="5" a="1"/>
  <c r="D123" i="5"/>
  <c r="E123" i="5" a="1"/>
  <c r="E123" i="5" s="1"/>
  <c r="C124" i="5" a="1"/>
  <c r="C124" i="5"/>
  <c r="D124" i="5" a="1"/>
  <c r="D124" i="5"/>
  <c r="E124" i="5" a="1"/>
  <c r="E124" i="5"/>
  <c r="C125" i="5" a="1"/>
  <c r="C125" i="5"/>
  <c r="D125" i="5" a="1"/>
  <c r="D125" i="5"/>
  <c r="E125" i="5" a="1"/>
  <c r="E125" i="5"/>
  <c r="C126" i="5" a="1"/>
  <c r="C126" i="5"/>
  <c r="D126" i="5" a="1"/>
  <c r="D126" i="5" s="1"/>
  <c r="E126" i="5" a="1"/>
  <c r="E126" i="5"/>
  <c r="C127" i="5" a="1"/>
  <c r="C127" i="5"/>
  <c r="D127" i="5" a="1"/>
  <c r="D127" i="5"/>
  <c r="E127" i="5" a="1"/>
  <c r="E127" i="5"/>
  <c r="C128" i="5" a="1"/>
  <c r="C128" i="5"/>
  <c r="D128" i="5" a="1"/>
  <c r="D128" i="5" s="1"/>
  <c r="E128" i="5" a="1"/>
  <c r="E128" i="5"/>
  <c r="C129" i="5" a="1"/>
  <c r="C129" i="5" s="1"/>
  <c r="D129" i="5" a="1"/>
  <c r="D129" i="5"/>
  <c r="E129" i="5" a="1"/>
  <c r="E129" i="5" s="1"/>
  <c r="C130" i="5" a="1"/>
  <c r="C130" i="5"/>
  <c r="D130" i="5" a="1"/>
  <c r="D130" i="5"/>
  <c r="E130" i="5" a="1"/>
  <c r="E130" i="5"/>
  <c r="C131" i="5" a="1"/>
  <c r="C131" i="5"/>
  <c r="D131" i="5" a="1"/>
  <c r="D131" i="5"/>
  <c r="E131" i="5" a="1"/>
  <c r="E131" i="5" s="1"/>
  <c r="C132" i="5" a="1"/>
  <c r="C132" i="5"/>
  <c r="D132" i="5" a="1"/>
  <c r="D132" i="5"/>
  <c r="E132" i="5" a="1"/>
  <c r="E132" i="5"/>
  <c r="C133" i="5" a="1"/>
  <c r="C133" i="5" s="1"/>
  <c r="D133" i="5" a="1"/>
  <c r="D133" i="5" s="1"/>
  <c r="E133" i="5" a="1"/>
  <c r="E133" i="5" s="1"/>
  <c r="C134" i="5" a="1"/>
  <c r="C134" i="5"/>
  <c r="D134" i="5" a="1"/>
  <c r="D134" i="5" s="1"/>
  <c r="E134" i="5" a="1"/>
  <c r="E134" i="5"/>
  <c r="C135" i="5" a="1"/>
  <c r="C135" i="5"/>
  <c r="D135" i="5" a="1"/>
  <c r="D135" i="5"/>
  <c r="E135" i="5" a="1"/>
  <c r="E135" i="5"/>
  <c r="C136" i="5" a="1"/>
  <c r="C136" i="5"/>
  <c r="D136" i="5" a="1"/>
  <c r="D136" i="5"/>
  <c r="E136" i="5" a="1"/>
  <c r="E136" i="5"/>
  <c r="C137" i="5" a="1"/>
  <c r="C137" i="5" s="1"/>
  <c r="D137" i="5" a="1"/>
  <c r="D137" i="5"/>
  <c r="E137" i="5" a="1"/>
  <c r="E137" i="5"/>
  <c r="C138" i="5" a="1"/>
  <c r="C138" i="5"/>
  <c r="D138" i="5" a="1"/>
  <c r="D138" i="5"/>
  <c r="E138" i="5" a="1"/>
  <c r="E138" i="5"/>
  <c r="C139" i="5" a="1"/>
  <c r="C139" i="5" s="1"/>
  <c r="D139" i="5" a="1"/>
  <c r="D139" i="5" s="1"/>
  <c r="E139" i="5" a="1"/>
  <c r="E139" i="5" s="1"/>
  <c r="C140" i="5" a="1"/>
  <c r="C140" i="5"/>
  <c r="D140" i="5" a="1"/>
  <c r="D140" i="5"/>
  <c r="E140" i="5" a="1"/>
  <c r="E140" i="5"/>
  <c r="C141" i="5" a="1"/>
  <c r="C141" i="5"/>
  <c r="D141" i="5" a="1"/>
  <c r="D141" i="5" s="1"/>
  <c r="E141" i="5" a="1"/>
  <c r="E141" i="5"/>
  <c r="C142" i="5" a="1"/>
  <c r="C142" i="5"/>
  <c r="D142" i="5" a="1"/>
  <c r="D142" i="5" s="1"/>
  <c r="E142" i="5" a="1"/>
  <c r="E142" i="5"/>
  <c r="C143" i="5" a="1"/>
  <c r="C143" i="5"/>
  <c r="D143" i="5" a="1"/>
  <c r="D143" i="5"/>
  <c r="E143" i="5" a="1"/>
  <c r="E143" i="5"/>
  <c r="C144" i="5" a="1"/>
  <c r="C144" i="5"/>
  <c r="D144" i="5" a="1"/>
  <c r="D144" i="5" s="1"/>
  <c r="E144" i="5" a="1"/>
  <c r="E144" i="5"/>
  <c r="C145" i="5" a="1"/>
  <c r="C145" i="5" s="1"/>
  <c r="D145" i="5" a="1"/>
  <c r="D145" i="5" s="1"/>
  <c r="E145" i="5" a="1"/>
  <c r="E145" i="5"/>
  <c r="C146" i="5" a="1"/>
  <c r="C146" i="5"/>
  <c r="D146" i="5" a="1"/>
  <c r="D146" i="5"/>
  <c r="E146" i="5" a="1"/>
  <c r="E146" i="5"/>
  <c r="C35" i="5" a="1"/>
  <c r="C35" i="5" s="1"/>
  <c r="D35" i="5" a="1"/>
  <c r="D35" i="5" s="1"/>
  <c r="E35" i="5" a="1"/>
  <c r="E35" i="5" s="1"/>
  <c r="C36" i="5" a="1"/>
  <c r="C36" i="5"/>
  <c r="D36" i="5" a="1"/>
  <c r="D36" i="5"/>
  <c r="E36" i="5" a="1"/>
  <c r="E36" i="5"/>
  <c r="C37" i="5" a="1"/>
  <c r="C37" i="5"/>
  <c r="D37" i="5" a="1"/>
  <c r="D37" i="5"/>
  <c r="E37" i="5" a="1"/>
  <c r="E37" i="5"/>
  <c r="C38" i="5" a="1"/>
  <c r="C38" i="5"/>
  <c r="D38" i="5" a="1"/>
  <c r="D38" i="5" s="1"/>
  <c r="E38" i="5" a="1"/>
  <c r="E38" i="5"/>
  <c r="C39" i="5" a="1"/>
  <c r="C39" i="5"/>
  <c r="D39" i="5" a="1"/>
  <c r="D39" i="5" s="1"/>
  <c r="E39" i="5" a="1"/>
  <c r="E39" i="5"/>
  <c r="C40" i="5" a="1"/>
  <c r="C40" i="5"/>
  <c r="D40" i="5" a="1"/>
  <c r="D40" i="5" s="1"/>
  <c r="E40" i="5" a="1"/>
  <c r="E40" i="5"/>
  <c r="C41" i="5" a="1"/>
  <c r="C41" i="5" s="1"/>
  <c r="D41" i="5" a="1"/>
  <c r="D41" i="5"/>
  <c r="E41" i="5" a="1"/>
  <c r="E41" i="5"/>
  <c r="C42" i="5" a="1"/>
  <c r="C42" i="5"/>
  <c r="D42" i="5" a="1"/>
  <c r="D42" i="5"/>
  <c r="E42" i="5" a="1"/>
  <c r="E42" i="5"/>
  <c r="C43" i="5" a="1"/>
  <c r="C43" i="5"/>
  <c r="D43" i="5" a="1"/>
  <c r="D43" i="5"/>
  <c r="E43" i="5" a="1"/>
  <c r="E43" i="5"/>
  <c r="C44" i="5" a="1"/>
  <c r="C44" i="5" s="1"/>
  <c r="D44" i="5" a="1"/>
  <c r="D44" i="5"/>
  <c r="E44" i="5" a="1"/>
  <c r="E44" i="5"/>
  <c r="C45" i="5" a="1"/>
  <c r="C45" i="5"/>
  <c r="D45" i="5" a="1"/>
  <c r="D45" i="5"/>
  <c r="E45" i="5" a="1"/>
  <c r="E45" i="5" s="1"/>
  <c r="C46" i="5" a="1"/>
  <c r="C46" i="5"/>
  <c r="D46" i="5" a="1"/>
  <c r="D46" i="5" s="1"/>
  <c r="E46" i="5" a="1"/>
  <c r="E46" i="5"/>
  <c r="C47" i="5" a="1"/>
  <c r="C47" i="5"/>
  <c r="D47" i="5" a="1"/>
  <c r="D47" i="5" s="1"/>
  <c r="E47" i="5" a="1"/>
  <c r="E47" i="5"/>
  <c r="C48" i="5" a="1"/>
  <c r="C48" i="5"/>
  <c r="D48" i="5" a="1"/>
  <c r="D48" i="5"/>
  <c r="E48" i="5" a="1"/>
  <c r="E48" i="5"/>
  <c r="C49" i="5" a="1"/>
  <c r="C49" i="5"/>
  <c r="D49" i="5" a="1"/>
  <c r="D49" i="5"/>
  <c r="E49" i="5" a="1"/>
  <c r="E49" i="5" s="1"/>
  <c r="C50" i="5" a="1"/>
  <c r="C50" i="5"/>
  <c r="D50" i="5" a="1"/>
  <c r="D50" i="5"/>
  <c r="E50" i="5" a="1"/>
  <c r="E50" i="5" s="1"/>
  <c r="C51" i="5" a="1"/>
  <c r="C51" i="5" s="1"/>
  <c r="D51" i="5" a="1"/>
  <c r="D51" i="5"/>
  <c r="E51" i="5" a="1"/>
  <c r="E51" i="5" s="1"/>
  <c r="C52" i="5" a="1"/>
  <c r="C52" i="5"/>
  <c r="D52" i="5" a="1"/>
  <c r="D52" i="5"/>
  <c r="E52" i="5" a="1"/>
  <c r="E52" i="5"/>
  <c r="C53" i="5" a="1"/>
  <c r="C53" i="5"/>
  <c r="D53" i="5" a="1"/>
  <c r="D53" i="5"/>
  <c r="E53" i="5" a="1"/>
  <c r="E53" i="5"/>
  <c r="C54" i="5" a="1"/>
  <c r="C54" i="5"/>
  <c r="D54" i="5" a="1"/>
  <c r="D54" i="5"/>
  <c r="E54" i="5" a="1"/>
  <c r="E54" i="5"/>
  <c r="C55" i="5" a="1"/>
  <c r="C55" i="5"/>
  <c r="D55" i="5" a="1"/>
  <c r="D55" i="5"/>
  <c r="E55" i="5" a="1"/>
  <c r="E55" i="5"/>
  <c r="C56" i="5" a="1"/>
  <c r="C56" i="5"/>
  <c r="D56" i="5" a="1"/>
  <c r="D56" i="5" s="1"/>
  <c r="E56" i="5" a="1"/>
  <c r="E56" i="5"/>
  <c r="C57" i="5" a="1"/>
  <c r="C57" i="5" s="1"/>
  <c r="D57" i="5" a="1"/>
  <c r="D57" i="5" s="1"/>
  <c r="E57" i="5" a="1"/>
  <c r="E57" i="5"/>
  <c r="C58" i="5" a="1"/>
  <c r="C58" i="5"/>
  <c r="D58" i="5" a="1"/>
  <c r="D58" i="5"/>
  <c r="E58" i="5" a="1"/>
  <c r="E58" i="5"/>
  <c r="D27" i="5" a="1"/>
  <c r="D27" i="5"/>
  <c r="D28" i="5" a="1"/>
  <c r="D28" i="5"/>
  <c r="D29" i="5" a="1"/>
  <c r="D29" i="5" s="1"/>
  <c r="D30" i="5" a="1"/>
  <c r="D30" i="5" s="1"/>
  <c r="D31" i="5" a="1"/>
  <c r="D31" i="5"/>
  <c r="D32" i="5" a="1"/>
  <c r="D32" i="5"/>
  <c r="D33" i="5" a="1"/>
  <c r="D33" i="5"/>
  <c r="D34" i="5" a="1"/>
  <c r="D34" i="5"/>
  <c r="E27" i="5" a="1"/>
  <c r="E27" i="5"/>
  <c r="E28" i="5" a="1"/>
  <c r="E28" i="5"/>
  <c r="E29" i="5" a="1"/>
  <c r="E29" i="5" s="1"/>
  <c r="E30" i="5" a="1"/>
  <c r="E30" i="5" s="1"/>
  <c r="E31" i="5" a="1"/>
  <c r="E31" i="5" s="1"/>
  <c r="E32" i="5" a="1"/>
  <c r="E32" i="5" s="1"/>
  <c r="E33" i="5" a="1"/>
  <c r="E33" i="5" s="1"/>
  <c r="E34" i="5" a="1"/>
  <c r="E34" i="5"/>
  <c r="C27" i="5" a="1"/>
  <c r="C27" i="5" s="1"/>
  <c r="C28" i="5" a="1"/>
  <c r="C28" i="5"/>
  <c r="C29" i="5" a="1"/>
  <c r="C29" i="5"/>
  <c r="C30" i="5" a="1"/>
  <c r="C30" i="5" s="1"/>
  <c r="C31" i="5" a="1"/>
  <c r="C31" i="5"/>
  <c r="C32" i="5" a="1"/>
  <c r="C32" i="5"/>
  <c r="C33" i="5" a="1"/>
  <c r="C33" i="5"/>
  <c r="C34" i="5" a="1"/>
  <c r="C34" i="5"/>
  <c r="B3" i="5" a="1"/>
  <c r="B3" i="5" s="1"/>
  <c r="C3" i="5" s="1" a="1"/>
  <c r="C3" i="5" s="1"/>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 r="F4" i="1"/>
  <c r="F1" i="3" s="1"/>
  <c r="C4" i="1" a="1"/>
  <c r="C4" i="1" s="1"/>
  <c r="B2" i="1"/>
  <c r="A2" i="1"/>
  <c r="D26" i="5" l="1" a="1"/>
  <c r="D26" i="5" s="1"/>
  <c r="D4" i="5" a="1"/>
  <c r="D4" i="5" s="1"/>
  <c r="D25" i="5" a="1"/>
  <c r="D25" i="5" s="1"/>
  <c r="D24" i="5" a="1"/>
  <c r="D24" i="5" s="1"/>
  <c r="D23" i="5" a="1"/>
  <c r="D23" i="5" s="1"/>
  <c r="D22" i="5" a="1"/>
  <c r="D22" i="5" s="1"/>
  <c r="D21" i="5" a="1"/>
  <c r="D21" i="5" s="1"/>
  <c r="D20" i="5" a="1"/>
  <c r="D20" i="5" s="1"/>
  <c r="D19" i="5" a="1"/>
  <c r="D19" i="5" s="1"/>
  <c r="D18" i="5" a="1"/>
  <c r="D18" i="5" s="1"/>
  <c r="D17" i="5" a="1"/>
  <c r="D17" i="5" s="1"/>
  <c r="D15" i="5" a="1"/>
  <c r="D15" i="5" s="1"/>
  <c r="D6" i="5" a="1"/>
  <c r="D6" i="5" s="1"/>
  <c r="D13" i="5" a="1"/>
  <c r="D13" i="5" s="1"/>
  <c r="D11" i="5" a="1"/>
  <c r="D11" i="5" s="1"/>
  <c r="D8" i="5" a="1"/>
  <c r="D8" i="5" s="1"/>
  <c r="D16" i="5" a="1"/>
  <c r="D16" i="5" s="1"/>
  <c r="D10" i="5" a="1"/>
  <c r="D10" i="5" s="1"/>
  <c r="D9" i="5" a="1"/>
  <c r="D9" i="5" s="1"/>
  <c r="D5" i="5" a="1"/>
  <c r="D5" i="5" s="1"/>
  <c r="D3" i="5" a="1"/>
  <c r="D3" i="5" s="1"/>
  <c r="D14" i="5" a="1"/>
  <c r="D14" i="5" s="1"/>
  <c r="D12" i="5" a="1"/>
  <c r="D12" i="5" s="1"/>
  <c r="D7" i="5" a="1"/>
  <c r="D7" i="5" s="1"/>
  <c r="C21" i="5" a="1"/>
  <c r="C21" i="5" s="1"/>
  <c r="C18" i="5" a="1"/>
  <c r="C18" i="5" s="1"/>
  <c r="C16" i="5" a="1"/>
  <c r="C16" i="5" s="1"/>
  <c r="E19" i="5" a="1"/>
  <c r="E19" i="5" s="1"/>
  <c r="C19" i="5" a="1"/>
  <c r="C19" i="5" s="1"/>
  <c r="C12" i="5" a="1"/>
  <c r="C12" i="5" s="1"/>
  <c r="E20" i="5" a="1"/>
  <c r="E20" i="5" s="1"/>
  <c r="C5" i="5" a="1"/>
  <c r="C5" i="5" s="1"/>
  <c r="E3" i="5" a="1"/>
  <c r="E3" i="5" s="1"/>
  <c r="E8" i="5" a="1"/>
  <c r="E8" i="5" s="1"/>
  <c r="C17" i="5" a="1"/>
  <c r="C17" i="5" s="1"/>
  <c r="C15" i="5" a="1"/>
  <c r="C15" i="5" s="1"/>
  <c r="E22" i="5" a="1"/>
  <c r="E22" i="5" s="1"/>
  <c r="C10" i="5" a="1"/>
  <c r="C10" i="5" s="1"/>
  <c r="C8" i="5" a="1"/>
  <c r="C8" i="5" s="1"/>
  <c r="C7" i="5" a="1"/>
  <c r="C7" i="5" s="1"/>
  <c r="C6" i="5" a="1"/>
  <c r="C6" i="5" s="1"/>
  <c r="E13" i="5" a="1"/>
  <c r="E13" i="5" s="1"/>
  <c r="E10" i="5" a="1"/>
  <c r="E10" i="5" s="1"/>
  <c r="E7" i="5" a="1"/>
  <c r="E7" i="5" s="1"/>
  <c r="E26" i="5" a="1"/>
  <c r="E26" i="5" s="1"/>
  <c r="C14" i="5" a="1"/>
  <c r="C14" i="5" s="1"/>
  <c r="C13" i="5" a="1"/>
  <c r="C13" i="5" s="1"/>
  <c r="C11" i="5" a="1"/>
  <c r="C11" i="5" s="1"/>
  <c r="E18" i="5" a="1"/>
  <c r="E18" i="5" s="1"/>
  <c r="E9" i="5" a="1"/>
  <c r="E9" i="5" s="1"/>
  <c r="C26" i="5" a="1"/>
  <c r="C26" i="5" s="1"/>
  <c r="E6" i="5" a="1"/>
  <c r="E6" i="5" s="1"/>
  <c r="C22" i="5" a="1"/>
  <c r="C22" i="5" s="1"/>
  <c r="E25" i="5" a="1"/>
  <c r="E25" i="5" s="1"/>
  <c r="E23" i="5" a="1"/>
  <c r="E23" i="5" s="1"/>
  <c r="E16" i="5" a="1"/>
  <c r="E16" i="5" s="1"/>
  <c r="E14" i="5" a="1"/>
  <c r="E14" i="5" s="1"/>
  <c r="E12" i="5" a="1"/>
  <c r="E12" i="5" s="1"/>
  <c r="C25" i="5" a="1"/>
  <c r="C25" i="5" s="1"/>
  <c r="C20" i="5" a="1"/>
  <c r="C20" i="5" s="1"/>
  <c r="E24" i="5" a="1"/>
  <c r="E24" i="5" s="1"/>
  <c r="E21" i="5" a="1"/>
  <c r="E21" i="5" s="1"/>
  <c r="C9" i="5" a="1"/>
  <c r="C9" i="5" s="1"/>
  <c r="E17" i="5" a="1"/>
  <c r="E17" i="5" s="1"/>
  <c r="E15" i="5" a="1"/>
  <c r="E15" i="5" s="1"/>
  <c r="C4" i="5" a="1"/>
  <c r="C4" i="5" s="1"/>
  <c r="E11" i="5" a="1"/>
  <c r="E11" i="5" s="1"/>
  <c r="C24" i="5" a="1"/>
  <c r="C24" i="5" s="1"/>
  <c r="E5" i="5" a="1"/>
  <c r="E5" i="5" s="1"/>
  <c r="C23" i="5" a="1"/>
  <c r="C23" i="5" s="1"/>
  <c r="E4" i="5" a="1"/>
  <c r="E4" i="5" s="1"/>
  <c r="C2" i="1"/>
  <c r="F5" i="1" l="1" a="1"/>
  <c r="F5" i="1" s="1"/>
  <c r="F2" i="3" s="1"/>
  <c r="A4" i="1" a="1"/>
  <c r="A4"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3B265A8-C100-46E5-82D7-3589F3845391}" keepAlive="1" name="Query - Export" description="Connection to the 'Export' query in the workbook." type="5" refreshedVersion="8" background="1" saveData="1">
    <dbPr connection="Provider=Microsoft.Mashup.OleDb.1;Data Source=$Workbook$;Location=Export;Extended Properties=&quot;&quot;" command="SELECT * FROM [Export]"/>
  </connection>
  <connection id="2" xr16:uid="{2E301DCD-B45B-4BFD-85D1-BE8C6B1C944B}" keepAlive="1" name="Query - GDD" description="Connection to the 'GDD' query in the workbook." type="5" refreshedVersion="0" background="1">
    <dbPr connection="Provider=Microsoft.Mashup.OleDb.1;Data Source=$Workbook$;Location=GDD;Extended Properties=&quot;&quot;" command="SELECT * FROM [GDD]"/>
  </connection>
  <connection id="3" xr16:uid="{448C750F-7C3F-402F-B87E-04E534265749}"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4" xr16:uid="{DBC71EB5-A9CA-4F95-A5DC-3FE1C6B1C6C9}"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5" xr16:uid="{7DC236B0-E8F2-4A41-8011-492D6C023358}"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6" xr16:uid="{8EC0B2F3-D0AD-4C6D-9E20-DAB9B4C895F9}"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<sst xmlns="http://schemas.openxmlformats.org/spreadsheetml/2006/main" count="904" uniqueCount="73">
  <si>
    <t>Source.Name</t>
  </si>
  <si>
    <t xml:space="preserve">DO or Franchise Name  </t>
  </si>
  <si>
    <t>store</t>
  </si>
  <si>
    <t>offer</t>
  </si>
  <si>
    <t>description</t>
  </si>
  <si>
    <t>price</t>
  </si>
  <si>
    <t>Papa Pairings</t>
  </si>
  <si>
    <t xml:space="preserve"> Craving what you see? Our newest addition to your Papa Pairings possibilities: Wings! Get any of these and more delectable Papa Johns favorites for just $6.99 each when you pair two or more. </t>
  </si>
  <si>
    <t>(All)</t>
  </si>
  <si>
    <t>Row Labels</t>
  </si>
  <si>
    <t>Column Labels</t>
  </si>
  <si>
    <t>Sum of price</t>
  </si>
  <si>
    <t>price sort</t>
  </si>
  <si>
    <t>&lt;----Either "All" or select 1 option, select multiple not allowed</t>
  </si>
  <si>
    <t>Stores Displaying offer(s)</t>
  </si>
  <si>
    <t>Store Not Displaying</t>
  </si>
  <si>
    <t>Stores Displaying</t>
  </si>
  <si>
    <t>Stores Not Displaying offer(s)</t>
  </si>
  <si>
    <t>Garlic Epic Stuffed Crust: A pizza inspired by you</t>
  </si>
  <si>
    <t>Garlic sauce fans, you inspired us! We transformed your love for our garlic sauce into our pizza. Enjoy a 1-topping Garlic Epic Stuffed Crust pizza with garlicky goodness inside the cheesy crust, drizzled onto it, and served on the side.</t>
  </si>
  <si>
    <t>Calzone Papa Bites</t>
  </si>
  <si>
    <t xml:space="preserve"> Indulge in our Calzone Papa Bites. Packed with a blend of mozzarella and garlic herb ricotta, pepperoni, Italian sausage, and green peppers inside our fresh original dough. Served with original pizza sauce on the side for even more calzone flavor. </t>
  </si>
  <si>
    <t>Large 1 Topping Pizza for $9.99  Carryout Only!</t>
  </si>
  <si>
    <t xml:space="preserve"> Large 1 Topping Pizza for $9.99  Carryout Only! </t>
  </si>
  <si>
    <t>Large 1-Topping Pizza</t>
  </si>
  <si>
    <t xml:space="preserve"> Large 1 Topping Pizza for only 12.99, Delivery Only. </t>
  </si>
  <si>
    <t>Epic Stuffed Crust 1-Topping Pizza</t>
  </si>
  <si>
    <t xml:space="preserve"> Epic Stuff Crust 1-Topping Pizza for ONLY $15.99 </t>
  </si>
  <si>
    <t>Any 10" Only $10</t>
  </si>
  <si>
    <t xml:space="preserve"> Any 10" original crust specialty or up to 5-topping pizza ONLY $10 </t>
  </si>
  <si>
    <t>Carryout ONLY! Large Specialty Pizza</t>
  </si>
  <si>
    <t xml:space="preserve"> Large Specialty Pizza $15.99. Carryout ONLY </t>
  </si>
  <si>
    <t>Any Large Pizza - Up to 5 Toppings or Specialty</t>
  </si>
  <si>
    <t xml:space="preserve"> Enjoy your favorite specialty or any 5-topping pizza on our large original or thin crust pizza </t>
  </si>
  <si>
    <t>Two Pizza Deal</t>
  </si>
  <si>
    <t xml:space="preserve"> Two Large Two Topping Pizzas </t>
  </si>
  <si>
    <t>NY-Style 1-Topping Pizza</t>
  </si>
  <si>
    <t xml:space="preserve"> New York Style 1-Topping Pizza </t>
  </si>
  <si>
    <t>Family Special</t>
  </si>
  <si>
    <t xml:space="preserve"> Any large specialty or 5-topping pizza and a large 2-topping pizza </t>
  </si>
  <si>
    <t>Cheesy Calzone Epic Stuffed Crust Pizza</t>
  </si>
  <si>
    <t xml:space="preserve"> We know how to hand stuff our crust with the best flavor combos. Experience calzone flavors like never before, this pizza is made with a blend of mozzarella and garlic herb ricotta stuffed into the crust. Comes with your choice of 1 topping. </t>
  </si>
  <si>
    <t>25% Off Regular Menu Price</t>
  </si>
  <si>
    <t xml:space="preserve"> 25% Off Your Entire Menu Price Order! </t>
  </si>
  <si>
    <t>30% OFF - TOYS FOR KIDS</t>
  </si>
  <si>
    <t xml:space="preserve"> Enjoy 30% off regular menu price items when you apply this promo! Papa Johns will donate 10% of the discounted purchase price to Toys for Kids. </t>
  </si>
  <si>
    <t>Carryout Offer - Large 5-topping or specialty</t>
  </si>
  <si>
    <t xml:space="preserve"> Large Specialty or up to 5 topping pizza </t>
  </si>
  <si>
    <t xml:space="preserve"> Enjoy your favorite specialty or any 5-topping pizza on our large original or thin crust pizza for only $18.99! </t>
  </si>
  <si>
    <t>Small Deal</t>
  </si>
  <si>
    <t xml:space="preserve"> Small Three Topping Pizza </t>
  </si>
  <si>
    <t>Any Medium Specialty Or 5-Topping</t>
  </si>
  <si>
    <t xml:space="preserve"> Any Medium Specialty or 5-Topping Pizza </t>
  </si>
  <si>
    <t xml:space="preserve"> Extra Large 2-topping Pizza</t>
  </si>
  <si>
    <t xml:space="preserve"> Extra Large Two Topping Pizza </t>
  </si>
  <si>
    <t>2 Large 2-Topping Pizzas</t>
  </si>
  <si>
    <t xml:space="preserve"> Two Large 2 Topping Pizzas </t>
  </si>
  <si>
    <t>Any Large EPIC STUFFED CRUST</t>
  </si>
  <si>
    <t xml:space="preserve"> Any large EPIC STUFFED Crust with up to 5 toppings or Specialty pizza </t>
  </si>
  <si>
    <t>Carryout Offer  Large Specialty or 5-Topping Pizza</t>
  </si>
  <si>
    <t xml:space="preserve"> Large Specialty or up to 5 toppings $18.99 </t>
  </si>
  <si>
    <t>Stuffed Crust Specialty or up to 5 Topping</t>
  </si>
  <si>
    <t xml:space="preserve"> Large Stuffed Crust Specialty or up to 5 Topping Pizza only $20.99 </t>
  </si>
  <si>
    <t>Papa's Double Take</t>
  </si>
  <si>
    <t xml:space="preserve"> Two Large 2 Topping Pizzas only $12.99 each </t>
  </si>
  <si>
    <t>Portland</t>
  </si>
  <si>
    <t>Tacoma</t>
  </si>
  <si>
    <t>store #</t>
  </si>
  <si>
    <t>Franchise</t>
  </si>
  <si>
    <t>Store Count</t>
  </si>
  <si>
    <t>Offer Title</t>
  </si>
  <si>
    <t>Stores</t>
  </si>
  <si>
    <t>Region(s)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</si>
</sst>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3" x14ac:knownFonts="1">
    <font>
      <sz val="11"/>
      <color theme="1"/>
      <name val="Calibri"/>
      <family val="2"/>
      <scheme val="minor"/>
    </font>
    <font>
      <b/>
      <sz val="11"/>
      <color theme="1"/>
      <name val="Calibri"/>
      <family val="2"/>
      <scheme val="minor"/>
    </font>
    <font>
      <b/>
      <sz val="11"/>
      <color rgb="FFFF0000"/>
      <name val="Calibri"/>
      <family val="2"/>
      <scheme val="minor"/>
    </font>
  </fonts>
  <fills count="3">
    <fill>
      <patternFill patternType="none"/>
    </fill>
    <fill>
      <patternFill patternType="gray125"/>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0" fontId="0" fillId="0" borderId="0" xfId="0" pivotButton="1"/>
    <xf numFmtId="0" fontId="0" fillId="0" borderId="0" xfId="0" applyAlignment="1">
      <alignment horizontal="left"/>
    </xf>
    <xf numFmtId="0" fontId="2" fillId="2" borderId="1" xfId="0" applyFont="1" applyFill="1" applyBorder="1"/>
    <xf numFmtId="0" fontId="1" fillId="0" borderId="1" xfId="0" applyFont="1" applyBorder="1"/>
    <xf numFmtId="8" fontId="0" fillId="0" borderId="0" xfId="0" applyNumberFormat="1"/>
    <xf numFmtId="6" fontId="0" fillId="0" borderId="0" xfId="0" applyNumberFormat="1"/>
    <xf numFmtId="0" fontId="0" fillId="0" borderId="0" xfId="0" applyNumberFormat="1"/>
    <xf numFmtId="0" fontId="0" fillId="0" borderId="0" xfId="0" applyAlignment="1">
      <alignment horizontal="center"/>
    </xf>
  </cellXfs>
  <cellStyles count="1">
    <cellStyle name="Normal" xfId="0" builtinId="0"/>
  </cellStyles>
  <dxfs count="6">
    <dxf>
      <numFmt numFmtId="12" formatCode="&quot;$&quot;#,##0.00_);[Red]\(&quot;$&quot;#,##0.00\)"/>
    </dxf>
    <dxf>
      <numFmt numFmtId="12" formatCode="&quot;$&quot;#,##0.00_);[Red]\(&quot;$&quot;#,##0.00\)"/>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1</xdr:row>
          <xdr:rowOff>76200</xdr:rowOff>
        </xdr:from>
        <xdr:to>
          <xdr:col>4</xdr:col>
          <xdr:colOff>266700</xdr:colOff>
          <xdr:row>5</xdr:row>
          <xdr:rowOff>114300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Pivot Table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stin Druet" refreshedDate="45371.79647199074" missingItemsLimit="0" createdVersion="8" refreshedVersion="8" minRefreshableVersion="3" recordCount="413" xr:uid="{01F685F9-DAE0-4904-A9E3-85F6DC644A6E}">
  <cacheSource type="worksheet">
    <worksheetSource name="Export"/>
  </cacheSource>
  <cacheFields count="7">
    <cacheField name="Source.Name" numFmtId="0">
      <sharedItems containsNonDate="0" containsString="0" containsBlank="1" count="1">
        <m/>
      </sharedItems>
    </cacheField>
    <cacheField name="DO or Franchise Name  " numFmtId="0">
      <sharedItems count="2">
        <s v="Portland"/>
        <s v="Tacoma"/>
      </sharedItems>
    </cacheField>
    <cacheField name="store" numFmtId="0">
      <sharedItems containsSemiMixedTypes="0" containsString="0" containsNumber="1" containsInteger="1" minValue="1740" maxValue="5296" count="26">
        <n v="1740"/>
        <n v="1743"/>
        <n v="2172"/>
        <n v="2174"/>
        <n v="2236"/>
        <n v="2272"/>
        <n v="2457"/>
        <n v="2549"/>
        <n v="2603"/>
        <n v="2953"/>
        <n v="3498"/>
        <n v="4778"/>
        <n v="2208"/>
        <n v="2325"/>
        <n v="2478"/>
        <n v="2612"/>
        <n v="2687"/>
        <n v="2921"/>
        <n v="3015"/>
        <n v="4405"/>
        <n v="5293"/>
        <n v="5296"/>
        <n v="2306"/>
        <n v="2618"/>
        <n v="3130"/>
        <n v="3479"/>
      </sharedItems>
    </cacheField>
    <cacheField name="offer" numFmtId="0">
      <sharedItems count="24">
        <s v="Garlic Epic Stuffed Crust: A pizza inspired by you"/>
        <s v="Calzone Papa Bites"/>
        <s v="Papa Pairings"/>
        <s v="Large 1 Topping Pizza for $9.99  Carryout Only!"/>
        <s v="Large 1-Topping Pizza"/>
        <s v="Carryout Offer - Large 5-topping or specialty"/>
        <s v="Epic Stuffed Crust 1-Topping Pizza"/>
        <s v="Any 10&quot; Only $10"/>
        <s v="Any Large Pizza - Up to 5 Toppings or Specialty"/>
        <s v="Small Deal"/>
        <s v="Any Medium Specialty Or 5-Topping"/>
        <s v=" Extra Large 2-topping Pizza"/>
        <s v="2 Large 2-Topping Pizzas"/>
        <s v="NY-Style 1-Topping Pizza"/>
        <s v="Family Special"/>
        <s v="Any Large EPIC STUFFED CRUST"/>
        <s v="Cheesy Calzone Epic Stuffed Crust Pizza"/>
        <s v="Carryout Offer  Large Specialty or 5-Topping Pizza"/>
        <s v="Stuffed Crust Specialty or up to 5 Topping"/>
        <s v="Papa's Double Take"/>
        <s v="Carryout ONLY! Large Specialty Pizza"/>
        <s v="Two Pizza Deal"/>
        <s v="25% Off Regular Menu Price"/>
        <s v="30% OFF - TOYS FOR KIDS"/>
      </sharedItems>
    </cacheField>
    <cacheField name="description" numFmtId="0">
      <sharedItems/>
    </cacheField>
    <cacheField name="price" numFmtId="0">
      <sharedItems containsString="0" containsBlank="1" containsNumber="1" minValue="4.99" maxValue="29.99"/>
    </cacheField>
    <cacheField name="price sort" numFmtId="0">
      <sharedItems containsString="0" containsBlank="1" containsNumber="1" minValue="4.99" maxValue="29.99" count="15">
        <n v="13.99"/>
        <n v="4.99"/>
        <n v="6.99"/>
        <n v="9.99"/>
        <n v="12.99"/>
        <n v="14.99"/>
        <n v="15.99"/>
        <n v="10"/>
        <n v="18.989999999999998"/>
        <n v="17.989999999999998"/>
        <n v="25.98"/>
        <n v="29.99"/>
        <n v="20.99"/>
        <n v="25.99"/>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x v="0"/>
    <x v="0"/>
    <x v="0"/>
    <x v="0"/>
    <s v="Garlic sauce fans, you inspired us! We transformed your love for our garlic sauce into our pizza. Enjoy a 1-topping Garlic Epic Stuffed Crust pizza with garlicky goodness inside the cheesy crust, drizzled onto it, and served on the side."/>
    <n v="13.99"/>
    <x v="0"/>
  </r>
  <r>
    <x v="0"/>
    <x v="0"/>
    <x v="0"/>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0"/>
    <x v="2"/>
    <s v=" Craving what you see? Our newest addition to your Papa Pairings possibilities: Wings! Get any of these and more delectable Papa Johns favorites for just $6.99 each when you pair two or more. "/>
    <n v="6.99"/>
    <x v="2"/>
  </r>
  <r>
    <x v="0"/>
    <x v="0"/>
    <x v="0"/>
    <x v="3"/>
    <s v=" Large 1 Topping Pizza for $9.99  Carryout Only! "/>
    <n v="9.99"/>
    <x v="3"/>
  </r>
  <r>
    <x v="0"/>
    <x v="0"/>
    <x v="0"/>
    <x v="4"/>
    <s v=" Large 1 Topping Pizza for only 12.99, Delivery Only. "/>
    <n v="12.99"/>
    <x v="4"/>
  </r>
  <r>
    <x v="0"/>
    <x v="0"/>
    <x v="0"/>
    <x v="5"/>
    <s v=" Large Specialty or up to 5 topping pizza "/>
    <n v="14.99"/>
    <x v="5"/>
  </r>
  <r>
    <x v="0"/>
    <x v="0"/>
    <x v="0"/>
    <x v="6"/>
    <s v=" Epic Stuff Crust 1-Topping Pizza for ONLY $15.99 "/>
    <n v="15.99"/>
    <x v="6"/>
  </r>
  <r>
    <x v="0"/>
    <x v="0"/>
    <x v="0"/>
    <x v="7"/>
    <s v=" Any 10&quot; original crust specialty or up to 5-topping pizza ONLY $10 "/>
    <n v="10"/>
    <x v="7"/>
  </r>
  <r>
    <x v="0"/>
    <x v="0"/>
    <x v="0"/>
    <x v="8"/>
    <s v=" Enjoy your favorite specialty or any 5-topping pizza on our large original or thin crust pizza for only $18.99! "/>
    <n v="18.989999999999998"/>
    <x v="8"/>
  </r>
  <r>
    <x v="0"/>
    <x v="0"/>
    <x v="0"/>
    <x v="9"/>
    <s v=" Small Three Topping Pizza "/>
    <n v="9.99"/>
    <x v="3"/>
  </r>
  <r>
    <x v="0"/>
    <x v="0"/>
    <x v="0"/>
    <x v="10"/>
    <s v=" Any Medium Specialty or 5-Topping Pizza "/>
    <n v="13.99"/>
    <x v="0"/>
  </r>
  <r>
    <x v="0"/>
    <x v="0"/>
    <x v="0"/>
    <x v="11"/>
    <s v=" Extra Large Two Topping Pizza "/>
    <n v="17.989999999999998"/>
    <x v="9"/>
  </r>
  <r>
    <x v="0"/>
    <x v="0"/>
    <x v="0"/>
    <x v="12"/>
    <s v=" Two Large 2 Topping Pizzas "/>
    <n v="25.98"/>
    <x v="10"/>
  </r>
  <r>
    <x v="0"/>
    <x v="0"/>
    <x v="0"/>
    <x v="13"/>
    <s v=" New York Style 1-Topping Pizza "/>
    <n v="15.99"/>
    <x v="6"/>
  </r>
  <r>
    <x v="0"/>
    <x v="0"/>
    <x v="0"/>
    <x v="14"/>
    <s v=" Any large specialty or 5-topping pizza and a large 2-topping pizza "/>
    <n v="29.99"/>
    <x v="11"/>
  </r>
  <r>
    <x v="0"/>
    <x v="0"/>
    <x v="0"/>
    <x v="15"/>
    <s v=" Any large EPIC STUFFED Crust with up to 5 toppings or Specialty pizza "/>
    <n v="20.99"/>
    <x v="12"/>
  </r>
  <r>
    <x v="0"/>
    <x v="0"/>
    <x v="0"/>
    <x v="16"/>
    <s v=" We know how to hand stuff our crust with the best flavor combos. Experience calzone flavors like never before, this pizza is made with a blend of mozzarella and garlic herb ricotta stuffed into the crust. Comes with your choice of 1 topping. "/>
    <n v="14.99"/>
    <x v="5"/>
  </r>
  <r>
    <x v="0"/>
    <x v="0"/>
    <x v="1"/>
    <x v="0"/>
    <s v="Garlic sauce fans, you inspired us! We transformed your love for our garlic sauce into our pizza. Enjoy a 1-topping Garlic Epic Stuffed Crust pizza with garlicky goodness inside the cheesy crust, drizzled onto it, and served on the side."/>
    <n v="13.99"/>
    <x v="0"/>
  </r>
  <r>
    <x v="0"/>
    <x v="0"/>
    <x v="1"/>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1"/>
    <x v="2"/>
    <s v=" Craving what you see? Our newest addition to your Papa Pairings possibilities: Wings! Get any of these and more delectable Papa Johns favorites for just $6.99 each when you pair two or more. "/>
    <n v="6.99"/>
    <x v="2"/>
  </r>
  <r>
    <x v="0"/>
    <x v="0"/>
    <x v="1"/>
    <x v="3"/>
    <s v=" Large 1 Topping Pizza for $9.99  Carryout Only! "/>
    <n v="9.99"/>
    <x v="3"/>
  </r>
  <r>
    <x v="0"/>
    <x v="0"/>
    <x v="1"/>
    <x v="4"/>
    <s v=" Large 1 Topping Pizza for only 12.99, Delivery Only. "/>
    <n v="12.99"/>
    <x v="4"/>
  </r>
  <r>
    <x v="0"/>
    <x v="0"/>
    <x v="1"/>
    <x v="5"/>
    <s v=" Large Specialty or up to 5 topping pizza "/>
    <n v="14.99"/>
    <x v="5"/>
  </r>
  <r>
    <x v="0"/>
    <x v="0"/>
    <x v="1"/>
    <x v="6"/>
    <s v=" Epic Stuff Crust 1-Topping Pizza for ONLY $15.99 "/>
    <n v="15.99"/>
    <x v="6"/>
  </r>
  <r>
    <x v="0"/>
    <x v="0"/>
    <x v="1"/>
    <x v="7"/>
    <s v=" Any 10&quot; original crust specialty or up to 5-topping pizza ONLY $10 "/>
    <n v="10"/>
    <x v="7"/>
  </r>
  <r>
    <x v="0"/>
    <x v="0"/>
    <x v="1"/>
    <x v="8"/>
    <s v=" Enjoy your favorite specialty or any 5-topping pizza on our large original or thin crust pizza for only $18.99! "/>
    <n v="18.989999999999998"/>
    <x v="8"/>
  </r>
  <r>
    <x v="0"/>
    <x v="0"/>
    <x v="1"/>
    <x v="9"/>
    <s v=" Small Three Topping Pizza "/>
    <n v="9.99"/>
    <x v="3"/>
  </r>
  <r>
    <x v="0"/>
    <x v="0"/>
    <x v="1"/>
    <x v="10"/>
    <s v=" Any Medium Specialty or 5-Topping Pizza "/>
    <n v="13.99"/>
    <x v="0"/>
  </r>
  <r>
    <x v="0"/>
    <x v="0"/>
    <x v="1"/>
    <x v="11"/>
    <s v=" Extra Large Two Topping Pizza "/>
    <n v="17.989999999999998"/>
    <x v="9"/>
  </r>
  <r>
    <x v="0"/>
    <x v="0"/>
    <x v="1"/>
    <x v="12"/>
    <s v=" Two Large 2 Topping Pizzas "/>
    <n v="25.98"/>
    <x v="10"/>
  </r>
  <r>
    <x v="0"/>
    <x v="0"/>
    <x v="1"/>
    <x v="13"/>
    <s v=" New York Style 1-Topping Pizza "/>
    <n v="15.99"/>
    <x v="6"/>
  </r>
  <r>
    <x v="0"/>
    <x v="0"/>
    <x v="1"/>
    <x v="14"/>
    <s v=" Any large specialty or 5-topping pizza and a large 2-topping pizza "/>
    <n v="29.99"/>
    <x v="11"/>
  </r>
  <r>
    <x v="0"/>
    <x v="0"/>
    <x v="1"/>
    <x v="15"/>
    <s v=" Any large EPIC STUFFED Crust with up to 5 toppings or Specialty pizza "/>
    <n v="20.99"/>
    <x v="12"/>
  </r>
  <r>
    <x v="0"/>
    <x v="0"/>
    <x v="1"/>
    <x v="16"/>
    <s v=" We know how to hand stuff our crust with the best flavor combos. Experience calzone flavors like never before, this pizza is made with a blend of mozzarella and garlic herb ricotta stuffed into the crust. Comes with your choice of 1 topping. "/>
    <n v="14.99"/>
    <x v="5"/>
  </r>
  <r>
    <x v="0"/>
    <x v="0"/>
    <x v="2"/>
    <x v="0"/>
    <s v="Garlic sauce fans, you inspired us! We transformed your love for our garlic sauce into our pizza. Enjoy a 1-topping Garlic Epic Stuffed Crust pizza with garlicky goodness inside the cheesy crust, drizzled onto it, and served on the side."/>
    <n v="13.99"/>
    <x v="0"/>
  </r>
  <r>
    <x v="0"/>
    <x v="0"/>
    <x v="2"/>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2"/>
    <x v="2"/>
    <s v=" Craving what you see? Our newest addition to your Papa Pairings possibilities: Wings! Get any of these and more delectable Papa Johns favorites for just $6.99 each when you pair two or more. "/>
    <n v="6.99"/>
    <x v="2"/>
  </r>
  <r>
    <x v="0"/>
    <x v="0"/>
    <x v="2"/>
    <x v="3"/>
    <s v=" Large 1 Topping Pizza for $9.99  Carryout Only! "/>
    <n v="9.99"/>
    <x v="3"/>
  </r>
  <r>
    <x v="0"/>
    <x v="0"/>
    <x v="2"/>
    <x v="4"/>
    <s v=" Large 1 Topping Pizza for only 12.99, Delivery Only. "/>
    <n v="12.99"/>
    <x v="4"/>
  </r>
  <r>
    <x v="0"/>
    <x v="0"/>
    <x v="2"/>
    <x v="5"/>
    <s v=" Large Specialty or up to 5 topping pizza "/>
    <n v="14.99"/>
    <x v="5"/>
  </r>
  <r>
    <x v="0"/>
    <x v="0"/>
    <x v="2"/>
    <x v="6"/>
    <s v=" Epic Stuff Crust 1-Topping Pizza for ONLY $15.99 "/>
    <n v="15.99"/>
    <x v="6"/>
  </r>
  <r>
    <x v="0"/>
    <x v="0"/>
    <x v="2"/>
    <x v="7"/>
    <s v=" Any 10&quot; original crust specialty or up to 5-topping pizza ONLY $10 "/>
    <n v="10"/>
    <x v="7"/>
  </r>
  <r>
    <x v="0"/>
    <x v="0"/>
    <x v="2"/>
    <x v="8"/>
    <s v=" Enjoy your favorite specialty or any 5-topping pizza on our large original or thin crust pizza for only $18.99! "/>
    <n v="18.989999999999998"/>
    <x v="8"/>
  </r>
  <r>
    <x v="0"/>
    <x v="0"/>
    <x v="2"/>
    <x v="9"/>
    <s v=" Small Three Topping Pizza "/>
    <n v="9.99"/>
    <x v="3"/>
  </r>
  <r>
    <x v="0"/>
    <x v="0"/>
    <x v="2"/>
    <x v="10"/>
    <s v=" Any Medium Specialty or 5-Topping Pizza "/>
    <n v="13.99"/>
    <x v="0"/>
  </r>
  <r>
    <x v="0"/>
    <x v="0"/>
    <x v="2"/>
    <x v="11"/>
    <s v=" Extra Large Two Topping Pizza "/>
    <n v="17.989999999999998"/>
    <x v="9"/>
  </r>
  <r>
    <x v="0"/>
    <x v="0"/>
    <x v="2"/>
    <x v="12"/>
    <s v=" Two Large 2 Topping Pizzas "/>
    <n v="25.98"/>
    <x v="10"/>
  </r>
  <r>
    <x v="0"/>
    <x v="0"/>
    <x v="2"/>
    <x v="13"/>
    <s v=" New York Style 1-Topping Pizza "/>
    <n v="15.99"/>
    <x v="6"/>
  </r>
  <r>
    <x v="0"/>
    <x v="0"/>
    <x v="2"/>
    <x v="14"/>
    <s v=" Any large specialty or 5-topping pizza and a large 2-topping pizza "/>
    <n v="29.99"/>
    <x v="11"/>
  </r>
  <r>
    <x v="0"/>
    <x v="0"/>
    <x v="2"/>
    <x v="15"/>
    <s v=" Any large EPIC STUFFED Crust with up to 5 toppings or Specialty pizza "/>
    <n v="20.99"/>
    <x v="12"/>
  </r>
  <r>
    <x v="0"/>
    <x v="0"/>
    <x v="2"/>
    <x v="16"/>
    <s v=" We know how to hand stuff our crust with the best flavor combos. Experience calzone flavors like never before, this pizza is made with a blend of mozzarella and garlic herb ricotta stuffed into the crust. Comes with your choice of 1 topping. "/>
    <n v="14.99"/>
    <x v="5"/>
  </r>
  <r>
    <x v="0"/>
    <x v="0"/>
    <x v="3"/>
    <x v="0"/>
    <s v="Garlic sauce fans, you inspired us! We transformed your love for our garlic sauce into our pizza. Enjoy a 1-topping Garlic Epic Stuffed Crust pizza with garlicky goodness inside the cheesy crust, drizzled onto it, and served on the side."/>
    <n v="13.99"/>
    <x v="0"/>
  </r>
  <r>
    <x v="0"/>
    <x v="0"/>
    <x v="3"/>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3"/>
    <x v="2"/>
    <s v=" Craving what you see? Our newest addition to your Papa Pairings possibilities: Wings! Get any of these and more delectable Papa Johns favorites for just $6.99 each when you pair two or more. "/>
    <n v="6.99"/>
    <x v="2"/>
  </r>
  <r>
    <x v="0"/>
    <x v="0"/>
    <x v="3"/>
    <x v="3"/>
    <s v=" Large 1 Topping Pizza for $9.99  Carryout Only! "/>
    <n v="9.99"/>
    <x v="3"/>
  </r>
  <r>
    <x v="0"/>
    <x v="0"/>
    <x v="3"/>
    <x v="4"/>
    <s v=" Large 1 Topping Pizza for only 12.99, Delivery Only. "/>
    <n v="12.99"/>
    <x v="4"/>
  </r>
  <r>
    <x v="0"/>
    <x v="0"/>
    <x v="3"/>
    <x v="5"/>
    <s v=" Large Specialty or up to 5 topping pizza "/>
    <n v="14.99"/>
    <x v="5"/>
  </r>
  <r>
    <x v="0"/>
    <x v="0"/>
    <x v="3"/>
    <x v="6"/>
    <s v=" Epic Stuff Crust 1-Topping Pizza for ONLY $15.99 "/>
    <n v="15.99"/>
    <x v="6"/>
  </r>
  <r>
    <x v="0"/>
    <x v="0"/>
    <x v="3"/>
    <x v="7"/>
    <s v=" Any 10&quot; original crust specialty or up to 5-topping pizza ONLY $10 "/>
    <n v="10"/>
    <x v="7"/>
  </r>
  <r>
    <x v="0"/>
    <x v="0"/>
    <x v="3"/>
    <x v="8"/>
    <s v=" Enjoy your favorite specialty or any 5-topping pizza on our large original or thin crust pizza for only $18.99! "/>
    <n v="18.989999999999998"/>
    <x v="8"/>
  </r>
  <r>
    <x v="0"/>
    <x v="0"/>
    <x v="3"/>
    <x v="9"/>
    <s v=" Small Three Topping Pizza "/>
    <n v="9.99"/>
    <x v="3"/>
  </r>
  <r>
    <x v="0"/>
    <x v="0"/>
    <x v="3"/>
    <x v="10"/>
    <s v=" Any Medium Specialty or 5-Topping Pizza "/>
    <n v="13.99"/>
    <x v="0"/>
  </r>
  <r>
    <x v="0"/>
    <x v="0"/>
    <x v="3"/>
    <x v="11"/>
    <s v=" Extra Large Two Topping Pizza "/>
    <n v="17.989999999999998"/>
    <x v="9"/>
  </r>
  <r>
    <x v="0"/>
    <x v="0"/>
    <x v="3"/>
    <x v="12"/>
    <s v=" Two Large 2 Topping Pizzas "/>
    <n v="25.98"/>
    <x v="10"/>
  </r>
  <r>
    <x v="0"/>
    <x v="0"/>
    <x v="3"/>
    <x v="13"/>
    <s v=" New York Style 1-Topping Pizza "/>
    <n v="15.99"/>
    <x v="6"/>
  </r>
  <r>
    <x v="0"/>
    <x v="0"/>
    <x v="3"/>
    <x v="14"/>
    <s v=" Any large specialty or 5-topping pizza and a large 2-topping pizza "/>
    <n v="29.99"/>
    <x v="11"/>
  </r>
  <r>
    <x v="0"/>
    <x v="0"/>
    <x v="3"/>
    <x v="15"/>
    <s v=" Any large EPIC STUFFED Crust with up to 5 toppings or Specialty pizza "/>
    <n v="20.99"/>
    <x v="12"/>
  </r>
  <r>
    <x v="0"/>
    <x v="0"/>
    <x v="3"/>
    <x v="16"/>
    <s v=" We know how to hand stuff our crust with the best flavor combos. Experience calzone flavors like never before, this pizza is made with a blend of mozzarella and garlic herb ricotta stuffed into the crust. Comes with your choice of 1 topping. "/>
    <n v="14.99"/>
    <x v="5"/>
  </r>
  <r>
    <x v="0"/>
    <x v="0"/>
    <x v="4"/>
    <x v="0"/>
    <s v="Garlic sauce fans, you inspired us! We transformed your love for our garlic sauce into our pizza. Enjoy a 1-topping Garlic Epic Stuffed Crust pizza with garlicky goodness inside the cheesy crust, drizzled onto it, and served on the side."/>
    <n v="13.99"/>
    <x v="0"/>
  </r>
  <r>
    <x v="0"/>
    <x v="0"/>
    <x v="4"/>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4"/>
    <x v="2"/>
    <s v=" Craving what you see? Our newest addition to your Papa Pairings possibilities: Wings! Get any of these and more delectable Papa Johns favorites for just $6.99 each when you pair two or more. "/>
    <n v="6.99"/>
    <x v="2"/>
  </r>
  <r>
    <x v="0"/>
    <x v="0"/>
    <x v="4"/>
    <x v="3"/>
    <s v=" Large 1 Topping Pizza for $9.99  Carryout Only! "/>
    <n v="9.99"/>
    <x v="3"/>
  </r>
  <r>
    <x v="0"/>
    <x v="0"/>
    <x v="4"/>
    <x v="4"/>
    <s v=" Large 1 Topping Pizza for only 12.99, Delivery Only. "/>
    <n v="12.99"/>
    <x v="4"/>
  </r>
  <r>
    <x v="0"/>
    <x v="0"/>
    <x v="4"/>
    <x v="17"/>
    <s v=" Large Specialty or up to 5 topping pizza "/>
    <n v="14.99"/>
    <x v="5"/>
  </r>
  <r>
    <x v="0"/>
    <x v="0"/>
    <x v="4"/>
    <x v="6"/>
    <s v=" Epic Stuff Crust 1-Topping Pizza for ONLY $15.99 "/>
    <n v="15.99"/>
    <x v="6"/>
  </r>
  <r>
    <x v="0"/>
    <x v="0"/>
    <x v="4"/>
    <x v="7"/>
    <s v=" Any 10&quot; original crust specialty or up to 5-topping pizza ONLY $10 "/>
    <n v="10"/>
    <x v="7"/>
  </r>
  <r>
    <x v="0"/>
    <x v="0"/>
    <x v="4"/>
    <x v="8"/>
    <s v=" Large Specialty or up to 5 toppings $18.99 "/>
    <n v="18.989999999999998"/>
    <x v="8"/>
  </r>
  <r>
    <x v="0"/>
    <x v="0"/>
    <x v="4"/>
    <x v="9"/>
    <s v=" Small Three Topping Pizza "/>
    <n v="9.99"/>
    <x v="3"/>
  </r>
  <r>
    <x v="0"/>
    <x v="0"/>
    <x v="4"/>
    <x v="10"/>
    <s v=" Any Medium Specialty or 5-Topping Pizza "/>
    <n v="13.99"/>
    <x v="0"/>
  </r>
  <r>
    <x v="0"/>
    <x v="0"/>
    <x v="4"/>
    <x v="11"/>
    <s v=" Extra Large Two Topping Pizza "/>
    <n v="17.989999999999998"/>
    <x v="9"/>
  </r>
  <r>
    <x v="0"/>
    <x v="0"/>
    <x v="4"/>
    <x v="13"/>
    <s v=" New York Style 1-Topping Pizza "/>
    <n v="15.99"/>
    <x v="6"/>
  </r>
  <r>
    <x v="0"/>
    <x v="0"/>
    <x v="4"/>
    <x v="14"/>
    <s v=" Any large specialty or 5-topping pizza and a large 2-topping pizza "/>
    <n v="29.99"/>
    <x v="11"/>
  </r>
  <r>
    <x v="0"/>
    <x v="0"/>
    <x v="4"/>
    <x v="18"/>
    <s v=" Large Stuffed Crust Specialty or up to 5 Topping Pizza only $20.99 "/>
    <n v="20.99"/>
    <x v="12"/>
  </r>
  <r>
    <x v="0"/>
    <x v="0"/>
    <x v="4"/>
    <x v="16"/>
    <s v=" We know how to hand stuff our crust with the best flavor combos. Experience calzone flavors like never before, this pizza is made with a blend of mozzarella and garlic herb ricotta stuffed into the crust. Comes with your choice of 1 topping. "/>
    <n v="14.99"/>
    <x v="5"/>
  </r>
  <r>
    <x v="0"/>
    <x v="0"/>
    <x v="4"/>
    <x v="19"/>
    <s v=" Two Large 2 Topping Pizzas only $12.99 each "/>
    <n v="25.98"/>
    <x v="10"/>
  </r>
  <r>
    <x v="0"/>
    <x v="0"/>
    <x v="5"/>
    <x v="0"/>
    <s v="Garlic sauce fans, you inspired us! We transformed your love for our garlic sauce into our pizza. Enjoy a 1-topping Garlic Epic Stuffed Crust pizza with garlicky goodness inside the cheesy crust, drizzled onto it, and served on the side."/>
    <n v="13.99"/>
    <x v="0"/>
  </r>
  <r>
    <x v="0"/>
    <x v="0"/>
    <x v="5"/>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5"/>
    <x v="2"/>
    <s v=" Craving what you see? Our newest addition to your Papa Pairings possibilities: Wings! Get any of these and more delectable Papa Johns favorites for just $6.99 each when you pair two or more. "/>
    <n v="6.99"/>
    <x v="2"/>
  </r>
  <r>
    <x v="0"/>
    <x v="0"/>
    <x v="5"/>
    <x v="3"/>
    <s v=" Large 1 Topping Pizza for $9.99  Carryout Only! "/>
    <n v="9.99"/>
    <x v="3"/>
  </r>
  <r>
    <x v="0"/>
    <x v="0"/>
    <x v="5"/>
    <x v="4"/>
    <s v=" Large 1 Topping Pizza for only 12.99, Delivery Only. "/>
    <n v="12.99"/>
    <x v="4"/>
  </r>
  <r>
    <x v="0"/>
    <x v="0"/>
    <x v="5"/>
    <x v="5"/>
    <s v=" Large Specialty or up to 5 topping pizza "/>
    <n v="14.99"/>
    <x v="5"/>
  </r>
  <r>
    <x v="0"/>
    <x v="0"/>
    <x v="5"/>
    <x v="6"/>
    <s v=" Epic Stuff Crust 1-Topping Pizza for ONLY $15.99 "/>
    <n v="15.99"/>
    <x v="6"/>
  </r>
  <r>
    <x v="0"/>
    <x v="0"/>
    <x v="5"/>
    <x v="7"/>
    <s v=" Any 10&quot; original crust specialty or up to 5-topping pizza ONLY $10 "/>
    <n v="10"/>
    <x v="7"/>
  </r>
  <r>
    <x v="0"/>
    <x v="0"/>
    <x v="5"/>
    <x v="8"/>
    <s v=" Enjoy your favorite specialty or any 5-topping pizza on our large original or thin crust pizza for only $18.99! "/>
    <n v="18.989999999999998"/>
    <x v="8"/>
  </r>
  <r>
    <x v="0"/>
    <x v="0"/>
    <x v="5"/>
    <x v="9"/>
    <s v=" Small Three Topping Pizza "/>
    <n v="9.99"/>
    <x v="3"/>
  </r>
  <r>
    <x v="0"/>
    <x v="0"/>
    <x v="5"/>
    <x v="10"/>
    <s v=" Any Medium Specialty or 5-Topping Pizza "/>
    <n v="13.99"/>
    <x v="0"/>
  </r>
  <r>
    <x v="0"/>
    <x v="0"/>
    <x v="5"/>
    <x v="11"/>
    <s v=" Extra Large Two Topping Pizza "/>
    <n v="17.989999999999998"/>
    <x v="9"/>
  </r>
  <r>
    <x v="0"/>
    <x v="0"/>
    <x v="5"/>
    <x v="12"/>
    <s v=" Two Large 2 Topping Pizzas "/>
    <n v="25.98"/>
    <x v="10"/>
  </r>
  <r>
    <x v="0"/>
    <x v="0"/>
    <x v="5"/>
    <x v="13"/>
    <s v=" New York Style 1-Topping Pizza "/>
    <n v="15.99"/>
    <x v="6"/>
  </r>
  <r>
    <x v="0"/>
    <x v="0"/>
    <x v="5"/>
    <x v="14"/>
    <s v=" Any large specialty or 5-topping pizza and a large 2-topping pizza "/>
    <n v="29.99"/>
    <x v="11"/>
  </r>
  <r>
    <x v="0"/>
    <x v="0"/>
    <x v="5"/>
    <x v="15"/>
    <s v=" Any large EPIC STUFFED Crust with up to 5 toppings or Specialty pizza "/>
    <n v="20.99"/>
    <x v="12"/>
  </r>
  <r>
    <x v="0"/>
    <x v="0"/>
    <x v="5"/>
    <x v="16"/>
    <s v=" We know how to hand stuff our crust with the best flavor combos. Experience calzone flavors like never before, this pizza is made with a blend of mozzarella and garlic herb ricotta stuffed into the crust. Comes with your choice of 1 topping. "/>
    <n v="14.99"/>
    <x v="5"/>
  </r>
  <r>
    <x v="0"/>
    <x v="0"/>
    <x v="6"/>
    <x v="0"/>
    <s v="Garlic sauce fans, you inspired us! We transformed your love for our garlic sauce into our pizza. Enjoy a 1-topping Garlic Epic Stuffed Crust pizza with garlicky goodness inside the cheesy crust, drizzled onto it, and served on the side."/>
    <n v="13.99"/>
    <x v="0"/>
  </r>
  <r>
    <x v="0"/>
    <x v="0"/>
    <x v="6"/>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6"/>
    <x v="2"/>
    <s v=" Craving what you see? Our newest addition to your Papa Pairings possibilities: Wings! Get any of these and more delectable Papa Johns favorites for just $6.99 each when you pair two or more. "/>
    <n v="6.99"/>
    <x v="2"/>
  </r>
  <r>
    <x v="0"/>
    <x v="0"/>
    <x v="6"/>
    <x v="3"/>
    <s v=" Large 1 Topping Pizza for $9.99  Carryout Only! "/>
    <n v="9.99"/>
    <x v="3"/>
  </r>
  <r>
    <x v="0"/>
    <x v="0"/>
    <x v="6"/>
    <x v="4"/>
    <s v=" Large 1 Topping Pizza for only 12.99, Delivery Only. "/>
    <n v="12.99"/>
    <x v="4"/>
  </r>
  <r>
    <x v="0"/>
    <x v="0"/>
    <x v="6"/>
    <x v="5"/>
    <s v=" Large Specialty or up to 5 topping pizza "/>
    <n v="14.99"/>
    <x v="5"/>
  </r>
  <r>
    <x v="0"/>
    <x v="0"/>
    <x v="6"/>
    <x v="6"/>
    <s v=" Epic Stuff Crust 1-Topping Pizza for ONLY $15.99 "/>
    <n v="15.99"/>
    <x v="6"/>
  </r>
  <r>
    <x v="0"/>
    <x v="0"/>
    <x v="6"/>
    <x v="7"/>
    <s v=" Any 10&quot; original crust specialty or up to 5-topping pizza ONLY $10 "/>
    <n v="10"/>
    <x v="7"/>
  </r>
  <r>
    <x v="0"/>
    <x v="0"/>
    <x v="6"/>
    <x v="8"/>
    <s v=" Enjoy your favorite specialty or any 5-topping pizza on our large original or thin crust pizza for only $18.99! "/>
    <n v="18.989999999999998"/>
    <x v="8"/>
  </r>
  <r>
    <x v="0"/>
    <x v="0"/>
    <x v="6"/>
    <x v="9"/>
    <s v=" Small Three Topping Pizza "/>
    <n v="9.99"/>
    <x v="3"/>
  </r>
  <r>
    <x v="0"/>
    <x v="0"/>
    <x v="6"/>
    <x v="10"/>
    <s v=" Any Medium Specialty or 5-Topping Pizza "/>
    <n v="13.99"/>
    <x v="0"/>
  </r>
  <r>
    <x v="0"/>
    <x v="0"/>
    <x v="6"/>
    <x v="11"/>
    <s v=" Extra Large Two Topping Pizza "/>
    <n v="17.989999999999998"/>
    <x v="9"/>
  </r>
  <r>
    <x v="0"/>
    <x v="0"/>
    <x v="6"/>
    <x v="12"/>
    <s v=" Two Large 2 Topping Pizzas "/>
    <n v="25.98"/>
    <x v="10"/>
  </r>
  <r>
    <x v="0"/>
    <x v="0"/>
    <x v="6"/>
    <x v="13"/>
    <s v=" New York Style 1-Topping Pizza "/>
    <n v="15.99"/>
    <x v="6"/>
  </r>
  <r>
    <x v="0"/>
    <x v="0"/>
    <x v="6"/>
    <x v="14"/>
    <s v=" Any large specialty or 5-topping pizza and a large 2-topping pizza "/>
    <n v="29.99"/>
    <x v="11"/>
  </r>
  <r>
    <x v="0"/>
    <x v="0"/>
    <x v="6"/>
    <x v="15"/>
    <s v=" Any large EPIC STUFFED Crust with up to 5 toppings or Specialty pizza "/>
    <n v="20.99"/>
    <x v="12"/>
  </r>
  <r>
    <x v="0"/>
    <x v="0"/>
    <x v="6"/>
    <x v="16"/>
    <s v=" We know how to hand stuff our crust with the best flavor combos. Experience calzone flavors like never before, this pizza is made with a blend of mozzarella and garlic herb ricotta stuffed into the crust. Comes with your choice of 1 topping. "/>
    <n v="14.99"/>
    <x v="5"/>
  </r>
  <r>
    <x v="0"/>
    <x v="0"/>
    <x v="7"/>
    <x v="0"/>
    <s v="Garlic sauce fans, you inspired us! We transformed your love for our garlic sauce into our pizza. Enjoy a 1-topping Garlic Epic Stuffed Crust pizza with garlicky goodness inside the cheesy crust, drizzled onto it, and served on the side."/>
    <n v="13.99"/>
    <x v="0"/>
  </r>
  <r>
    <x v="0"/>
    <x v="0"/>
    <x v="7"/>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7"/>
    <x v="2"/>
    <s v=" Craving what you see? Our newest addition to your Papa Pairings possibilities: Wings! Get any of these and more delectable Papa Johns favorites for just $6.99 each when you pair two or more. "/>
    <n v="6.99"/>
    <x v="2"/>
  </r>
  <r>
    <x v="0"/>
    <x v="0"/>
    <x v="7"/>
    <x v="3"/>
    <s v=" Large 1 Topping Pizza for $9.99  Carryout Only! "/>
    <n v="9.99"/>
    <x v="3"/>
  </r>
  <r>
    <x v="0"/>
    <x v="0"/>
    <x v="7"/>
    <x v="4"/>
    <s v=" Large 1 Topping Pizza for only 12.99, Delivery Only. "/>
    <n v="12.99"/>
    <x v="4"/>
  </r>
  <r>
    <x v="0"/>
    <x v="0"/>
    <x v="7"/>
    <x v="5"/>
    <s v=" Large Specialty or up to 5 topping pizza "/>
    <n v="14.99"/>
    <x v="5"/>
  </r>
  <r>
    <x v="0"/>
    <x v="0"/>
    <x v="7"/>
    <x v="6"/>
    <s v=" Epic Stuff Crust 1-Topping Pizza for ONLY $15.99 "/>
    <n v="15.99"/>
    <x v="6"/>
  </r>
  <r>
    <x v="0"/>
    <x v="0"/>
    <x v="7"/>
    <x v="7"/>
    <s v=" Any 10&quot; original crust specialty or up to 5-topping pizza ONLY $10 "/>
    <n v="10"/>
    <x v="7"/>
  </r>
  <r>
    <x v="0"/>
    <x v="0"/>
    <x v="7"/>
    <x v="8"/>
    <s v=" Enjoy your favorite specialty or any 5-topping pizza on our large original or thin crust pizza for only $18.99! "/>
    <n v="18.989999999999998"/>
    <x v="8"/>
  </r>
  <r>
    <x v="0"/>
    <x v="0"/>
    <x v="7"/>
    <x v="9"/>
    <s v=" Small Three Topping Pizza "/>
    <n v="9.99"/>
    <x v="3"/>
  </r>
  <r>
    <x v="0"/>
    <x v="0"/>
    <x v="7"/>
    <x v="10"/>
    <s v=" Any Medium Specialty or 5-Topping Pizza "/>
    <n v="13.99"/>
    <x v="0"/>
  </r>
  <r>
    <x v="0"/>
    <x v="0"/>
    <x v="7"/>
    <x v="11"/>
    <s v=" Extra Large Two Topping Pizza "/>
    <n v="17.989999999999998"/>
    <x v="9"/>
  </r>
  <r>
    <x v="0"/>
    <x v="0"/>
    <x v="7"/>
    <x v="12"/>
    <s v=" Two Large 2 Topping Pizzas "/>
    <n v="25.98"/>
    <x v="10"/>
  </r>
  <r>
    <x v="0"/>
    <x v="0"/>
    <x v="7"/>
    <x v="13"/>
    <s v=" New York Style 1-Topping Pizza "/>
    <n v="15.99"/>
    <x v="6"/>
  </r>
  <r>
    <x v="0"/>
    <x v="0"/>
    <x v="7"/>
    <x v="14"/>
    <s v=" Any large specialty or 5-topping pizza and a large 2-topping pizza "/>
    <n v="29.99"/>
    <x v="11"/>
  </r>
  <r>
    <x v="0"/>
    <x v="0"/>
    <x v="7"/>
    <x v="15"/>
    <s v=" Any large EPIC STUFFED Crust with up to 5 toppings or Specialty pizza "/>
    <n v="20.99"/>
    <x v="12"/>
  </r>
  <r>
    <x v="0"/>
    <x v="0"/>
    <x v="7"/>
    <x v="16"/>
    <s v=" We know how to hand stuff our crust with the best flavor combos. Experience calzone flavors like never before, this pizza is made with a blend of mozzarella and garlic herb ricotta stuffed into the crust. Comes with your choice of 1 topping. "/>
    <n v="14.99"/>
    <x v="5"/>
  </r>
  <r>
    <x v="0"/>
    <x v="0"/>
    <x v="8"/>
    <x v="0"/>
    <s v="Garlic sauce fans, you inspired us! We transformed your love for our garlic sauce into our pizza. Enjoy a 1-topping Garlic Epic Stuffed Crust pizza with garlicky goodness inside the cheesy crust, drizzled onto it, and served on the side."/>
    <n v="13.99"/>
    <x v="0"/>
  </r>
  <r>
    <x v="0"/>
    <x v="0"/>
    <x v="8"/>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8"/>
    <x v="2"/>
    <s v=" Craving what you see? Our newest addition to your Papa Pairings possibilities: Wings! Get any of these and more delectable Papa Johns favorites for just $6.99 each when you pair two or more. "/>
    <n v="6.99"/>
    <x v="2"/>
  </r>
  <r>
    <x v="0"/>
    <x v="0"/>
    <x v="8"/>
    <x v="3"/>
    <s v=" Large 1 Topping Pizza for $9.99  Carryout Only! "/>
    <n v="9.99"/>
    <x v="3"/>
  </r>
  <r>
    <x v="0"/>
    <x v="0"/>
    <x v="8"/>
    <x v="4"/>
    <s v=" Large 1 Topping Pizza for only 12.99, Delivery Only. "/>
    <n v="12.99"/>
    <x v="4"/>
  </r>
  <r>
    <x v="0"/>
    <x v="0"/>
    <x v="8"/>
    <x v="5"/>
    <s v=" Large Specialty or up to 5 topping pizza "/>
    <n v="14.99"/>
    <x v="5"/>
  </r>
  <r>
    <x v="0"/>
    <x v="0"/>
    <x v="8"/>
    <x v="6"/>
    <s v=" Epic Stuff Crust 1-Topping Pizza for ONLY $15.99 "/>
    <n v="15.99"/>
    <x v="6"/>
  </r>
  <r>
    <x v="0"/>
    <x v="0"/>
    <x v="8"/>
    <x v="7"/>
    <s v=" Any 10&quot; original crust specialty or up to 5-topping pizza ONLY $10 "/>
    <n v="10"/>
    <x v="7"/>
  </r>
  <r>
    <x v="0"/>
    <x v="0"/>
    <x v="8"/>
    <x v="8"/>
    <s v=" Enjoy your favorite specialty or any 5-topping pizza on our large original or thin crust pizza for only $18.99! "/>
    <n v="18.989999999999998"/>
    <x v="8"/>
  </r>
  <r>
    <x v="0"/>
    <x v="0"/>
    <x v="8"/>
    <x v="9"/>
    <s v=" Small Three Topping Pizza "/>
    <n v="9.99"/>
    <x v="3"/>
  </r>
  <r>
    <x v="0"/>
    <x v="0"/>
    <x v="8"/>
    <x v="10"/>
    <s v=" Any Medium Specialty or 5-Topping Pizza "/>
    <n v="13.99"/>
    <x v="0"/>
  </r>
  <r>
    <x v="0"/>
    <x v="0"/>
    <x v="8"/>
    <x v="11"/>
    <s v=" Extra Large Two Topping Pizza "/>
    <n v="17.989999999999998"/>
    <x v="9"/>
  </r>
  <r>
    <x v="0"/>
    <x v="0"/>
    <x v="8"/>
    <x v="12"/>
    <s v=" Two Large 2 Topping Pizzas "/>
    <n v="25.98"/>
    <x v="10"/>
  </r>
  <r>
    <x v="0"/>
    <x v="0"/>
    <x v="8"/>
    <x v="13"/>
    <s v=" New York Style 1-Topping Pizza "/>
    <n v="15.99"/>
    <x v="6"/>
  </r>
  <r>
    <x v="0"/>
    <x v="0"/>
    <x v="8"/>
    <x v="14"/>
    <s v=" Any large specialty or 5-topping pizza and a large 2-topping pizza "/>
    <n v="29.99"/>
    <x v="11"/>
  </r>
  <r>
    <x v="0"/>
    <x v="0"/>
    <x v="8"/>
    <x v="15"/>
    <s v=" Any large EPIC STUFFED Crust with up to 5 toppings or Specialty pizza "/>
    <n v="20.99"/>
    <x v="12"/>
  </r>
  <r>
    <x v="0"/>
    <x v="0"/>
    <x v="8"/>
    <x v="16"/>
    <s v=" We know how to hand stuff our crust with the best flavor combos. Experience calzone flavors like never before, this pizza is made with a blend of mozzarella and garlic herb ricotta stuffed into the crust. Comes with your choice of 1 topping. "/>
    <n v="14.99"/>
    <x v="5"/>
  </r>
  <r>
    <x v="0"/>
    <x v="0"/>
    <x v="9"/>
    <x v="0"/>
    <s v="Garlic sauce fans, you inspired us! We transformed your love for our garlic sauce into our pizza. Enjoy a 1-topping Garlic Epic Stuffed Crust pizza with garlicky goodness inside the cheesy crust, drizzled onto it, and served on the side."/>
    <n v="13.99"/>
    <x v="0"/>
  </r>
  <r>
    <x v="0"/>
    <x v="0"/>
    <x v="9"/>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9"/>
    <x v="2"/>
    <s v=" Craving what you see? Our newest addition to your Papa Pairings possibilities: Wings! Get any of these and more delectable Papa Johns favorites for just $6.99 each when you pair two or more. "/>
    <n v="6.99"/>
    <x v="2"/>
  </r>
  <r>
    <x v="0"/>
    <x v="0"/>
    <x v="9"/>
    <x v="3"/>
    <s v=" Large 1 Topping Pizza for $9.99  Carryout Only! "/>
    <n v="9.99"/>
    <x v="3"/>
  </r>
  <r>
    <x v="0"/>
    <x v="0"/>
    <x v="9"/>
    <x v="4"/>
    <s v=" Large 1 Topping Pizza for only 12.99, Delivery Only. "/>
    <n v="12.99"/>
    <x v="4"/>
  </r>
  <r>
    <x v="0"/>
    <x v="0"/>
    <x v="9"/>
    <x v="17"/>
    <s v=" Large Specialty or up to 5 topping pizza "/>
    <n v="14.99"/>
    <x v="5"/>
  </r>
  <r>
    <x v="0"/>
    <x v="0"/>
    <x v="9"/>
    <x v="6"/>
    <s v=" Epic Stuff Crust 1-Topping Pizza for ONLY $15.99 "/>
    <n v="15.99"/>
    <x v="6"/>
  </r>
  <r>
    <x v="0"/>
    <x v="0"/>
    <x v="9"/>
    <x v="7"/>
    <s v=" Any 10&quot; original crust specialty or up to 5-topping pizza ONLY $10 "/>
    <n v="10"/>
    <x v="7"/>
  </r>
  <r>
    <x v="0"/>
    <x v="0"/>
    <x v="9"/>
    <x v="8"/>
    <s v=" Large Specialty or up to 5 toppings $18.99 "/>
    <n v="18.989999999999998"/>
    <x v="8"/>
  </r>
  <r>
    <x v="0"/>
    <x v="0"/>
    <x v="9"/>
    <x v="9"/>
    <s v=" Small Three Topping Pizza "/>
    <n v="9.99"/>
    <x v="3"/>
  </r>
  <r>
    <x v="0"/>
    <x v="0"/>
    <x v="9"/>
    <x v="10"/>
    <s v=" Any Medium Specialty or 5-Topping Pizza "/>
    <n v="13.99"/>
    <x v="0"/>
  </r>
  <r>
    <x v="0"/>
    <x v="0"/>
    <x v="9"/>
    <x v="11"/>
    <s v=" Extra Large Two Topping Pizza "/>
    <n v="17.989999999999998"/>
    <x v="9"/>
  </r>
  <r>
    <x v="0"/>
    <x v="0"/>
    <x v="9"/>
    <x v="13"/>
    <s v=" New York Style 1-Topping Pizza "/>
    <n v="15.99"/>
    <x v="6"/>
  </r>
  <r>
    <x v="0"/>
    <x v="0"/>
    <x v="9"/>
    <x v="14"/>
    <s v=" Any large specialty or 5-topping pizza and a large 2-topping pizza "/>
    <n v="29.99"/>
    <x v="11"/>
  </r>
  <r>
    <x v="0"/>
    <x v="0"/>
    <x v="9"/>
    <x v="18"/>
    <s v=" Large Stuffed Crust Specialty or up to 5 Topping Pizza only $20.99 "/>
    <n v="20.99"/>
    <x v="12"/>
  </r>
  <r>
    <x v="0"/>
    <x v="0"/>
    <x v="9"/>
    <x v="16"/>
    <s v=" We know how to hand stuff our crust with the best flavor combos. Experience calzone flavors like never before, this pizza is made with a blend of mozzarella and garlic herb ricotta stuffed into the crust. Comes with your choice of 1 topping. "/>
    <n v="14.99"/>
    <x v="5"/>
  </r>
  <r>
    <x v="0"/>
    <x v="0"/>
    <x v="9"/>
    <x v="19"/>
    <s v=" Two Large 2 Topping Pizzas only $12.99 each "/>
    <n v="25.98"/>
    <x v="10"/>
  </r>
  <r>
    <x v="0"/>
    <x v="0"/>
    <x v="10"/>
    <x v="0"/>
    <s v="Garlic sauce fans, you inspired us! We transformed your love for our garlic sauce into our pizza. Enjoy a 1-topping Garlic Epic Stuffed Crust pizza with garlicky goodness inside the cheesy crust, drizzled onto it, and served on the side."/>
    <n v="13.99"/>
    <x v="0"/>
  </r>
  <r>
    <x v="0"/>
    <x v="0"/>
    <x v="10"/>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10"/>
    <x v="2"/>
    <s v=" Craving what you see? Our newest addition to your Papa Pairings possibilities: Wings! Get any of these and more delectable Papa Johns favorites for just $6.99 each when you pair two or more. "/>
    <n v="6.99"/>
    <x v="2"/>
  </r>
  <r>
    <x v="0"/>
    <x v="0"/>
    <x v="10"/>
    <x v="3"/>
    <s v=" Large 1 Topping Pizza for $9.99  Carryout Only! "/>
    <n v="9.99"/>
    <x v="3"/>
  </r>
  <r>
    <x v="0"/>
    <x v="0"/>
    <x v="10"/>
    <x v="4"/>
    <s v=" Large 1 Topping Pizza for only 12.99, Delivery Only. "/>
    <n v="12.99"/>
    <x v="4"/>
  </r>
  <r>
    <x v="0"/>
    <x v="0"/>
    <x v="10"/>
    <x v="17"/>
    <s v=" Large Specialty or up to 5 topping pizza "/>
    <n v="14.99"/>
    <x v="5"/>
  </r>
  <r>
    <x v="0"/>
    <x v="0"/>
    <x v="10"/>
    <x v="6"/>
    <s v=" Epic Stuff Crust 1-Topping Pizza for ONLY $15.99 "/>
    <n v="15.99"/>
    <x v="6"/>
  </r>
  <r>
    <x v="0"/>
    <x v="0"/>
    <x v="10"/>
    <x v="7"/>
    <s v=" Any 10&quot; original crust specialty or up to 5-topping pizza ONLY $10 "/>
    <n v="10"/>
    <x v="7"/>
  </r>
  <r>
    <x v="0"/>
    <x v="0"/>
    <x v="10"/>
    <x v="8"/>
    <s v=" Large Specialty or up to 5 toppings $18.99 "/>
    <n v="18.989999999999998"/>
    <x v="8"/>
  </r>
  <r>
    <x v="0"/>
    <x v="0"/>
    <x v="10"/>
    <x v="9"/>
    <s v=" Small Three Topping Pizza "/>
    <n v="9.99"/>
    <x v="3"/>
  </r>
  <r>
    <x v="0"/>
    <x v="0"/>
    <x v="10"/>
    <x v="10"/>
    <s v=" Any Medium Specialty or 5-Topping Pizza "/>
    <n v="13.99"/>
    <x v="0"/>
  </r>
  <r>
    <x v="0"/>
    <x v="0"/>
    <x v="10"/>
    <x v="11"/>
    <s v=" Extra Large Two Topping Pizza "/>
    <n v="17.989999999999998"/>
    <x v="9"/>
  </r>
  <r>
    <x v="0"/>
    <x v="0"/>
    <x v="10"/>
    <x v="13"/>
    <s v=" New York Style 1-Topping Pizza "/>
    <n v="15.99"/>
    <x v="6"/>
  </r>
  <r>
    <x v="0"/>
    <x v="0"/>
    <x v="10"/>
    <x v="14"/>
    <s v=" Any large specialty or 5-topping pizza and a large 2-topping pizza "/>
    <n v="29.99"/>
    <x v="11"/>
  </r>
  <r>
    <x v="0"/>
    <x v="0"/>
    <x v="10"/>
    <x v="18"/>
    <s v=" Large Stuffed Crust Specialty or up to 5 Topping Pizza only $20.99 "/>
    <n v="20.99"/>
    <x v="12"/>
  </r>
  <r>
    <x v="0"/>
    <x v="0"/>
    <x v="10"/>
    <x v="16"/>
    <s v=" We know how to hand stuff our crust with the best flavor combos. Experience calzone flavors like never before, this pizza is made with a blend of mozzarella and garlic herb ricotta stuffed into the crust. Comes with your choice of 1 topping. "/>
    <n v="14.99"/>
    <x v="5"/>
  </r>
  <r>
    <x v="0"/>
    <x v="0"/>
    <x v="10"/>
    <x v="19"/>
    <s v=" Two Large 2 Topping Pizzas only $12.99 each "/>
    <n v="25.98"/>
    <x v="10"/>
  </r>
  <r>
    <x v="0"/>
    <x v="0"/>
    <x v="11"/>
    <x v="0"/>
    <s v="Garlic sauce fans, you inspired us! We transformed your love for our garlic sauce into our pizza. Enjoy a 1-topping Garlic Epic Stuffed Crust pizza with garlicky goodness inside the cheesy crust, drizzled onto it, and served on the side."/>
    <n v="13.99"/>
    <x v="0"/>
  </r>
  <r>
    <x v="0"/>
    <x v="0"/>
    <x v="11"/>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11"/>
    <x v="2"/>
    <s v=" Craving what you see? Our newest addition to your Papa Pairings possibilities: Wings! Get any of these and more delectable Papa Johns favorites for just $6.99 each when you pair two or more. "/>
    <n v="6.99"/>
    <x v="2"/>
  </r>
  <r>
    <x v="0"/>
    <x v="0"/>
    <x v="11"/>
    <x v="3"/>
    <s v=" Large 1 Topping Pizza for $9.99  Carryout Only! "/>
    <n v="9.99"/>
    <x v="3"/>
  </r>
  <r>
    <x v="0"/>
    <x v="0"/>
    <x v="11"/>
    <x v="4"/>
    <s v=" Large 1 Topping Pizza for only 12.99, Delivery Only. "/>
    <n v="12.99"/>
    <x v="4"/>
  </r>
  <r>
    <x v="0"/>
    <x v="0"/>
    <x v="11"/>
    <x v="5"/>
    <s v=" Large Specialty or up to 5 topping pizza "/>
    <n v="14.99"/>
    <x v="5"/>
  </r>
  <r>
    <x v="0"/>
    <x v="0"/>
    <x v="11"/>
    <x v="6"/>
    <s v=" Epic Stuff Crust 1-Topping Pizza for ONLY $15.99 "/>
    <n v="15.99"/>
    <x v="6"/>
  </r>
  <r>
    <x v="0"/>
    <x v="0"/>
    <x v="11"/>
    <x v="7"/>
    <s v=" Any 10&quot; original crust specialty or up to 5-topping pizza ONLY $10 "/>
    <n v="10"/>
    <x v="7"/>
  </r>
  <r>
    <x v="0"/>
    <x v="0"/>
    <x v="11"/>
    <x v="8"/>
    <s v=" Enjoy your favorite specialty or any 5-topping pizza on our large original or thin crust pizza for only $18.99! "/>
    <n v="18.989999999999998"/>
    <x v="8"/>
  </r>
  <r>
    <x v="0"/>
    <x v="0"/>
    <x v="11"/>
    <x v="9"/>
    <s v=" Small Three Topping Pizza "/>
    <n v="9.99"/>
    <x v="3"/>
  </r>
  <r>
    <x v="0"/>
    <x v="0"/>
    <x v="11"/>
    <x v="10"/>
    <s v=" Any Medium Specialty or 5-Topping Pizza "/>
    <n v="13.99"/>
    <x v="0"/>
  </r>
  <r>
    <x v="0"/>
    <x v="0"/>
    <x v="11"/>
    <x v="11"/>
    <s v=" Extra Large Two Topping Pizza "/>
    <n v="17.989999999999998"/>
    <x v="9"/>
  </r>
  <r>
    <x v="0"/>
    <x v="0"/>
    <x v="11"/>
    <x v="12"/>
    <s v=" Two Large 2 Topping Pizzas "/>
    <n v="25.98"/>
    <x v="10"/>
  </r>
  <r>
    <x v="0"/>
    <x v="0"/>
    <x v="11"/>
    <x v="13"/>
    <s v=" New York Style 1-Topping Pizza "/>
    <n v="15.99"/>
    <x v="6"/>
  </r>
  <r>
    <x v="0"/>
    <x v="0"/>
    <x v="11"/>
    <x v="14"/>
    <s v=" Any large specialty or 5-topping pizza and a large 2-topping pizza "/>
    <n v="29.99"/>
    <x v="11"/>
  </r>
  <r>
    <x v="0"/>
    <x v="0"/>
    <x v="11"/>
    <x v="15"/>
    <s v=" Any large EPIC STUFFED Crust with up to 5 toppings or Specialty pizza "/>
    <n v="20.99"/>
    <x v="12"/>
  </r>
  <r>
    <x v="0"/>
    <x v="0"/>
    <x v="11"/>
    <x v="16"/>
    <s v=" We know how to hand stuff our crust with the best flavor combos. Experience calzone flavors like never before, this pizza is made with a blend of mozzarella and garlic herb ricotta stuffed into the crust. Comes with your choice of 1 topping. "/>
    <n v="14.99"/>
    <x v="5"/>
  </r>
  <r>
    <x v="0"/>
    <x v="1"/>
    <x v="12"/>
    <x v="0"/>
    <s v="Garlic sauce fans, you inspired us! We transformed your love for our garlic sauce into our pizza. Enjoy a 1-topping Garlic Epic Stuffed Crust pizza with garlicky goodness inside the cheesy crust, drizzled onto it, and served on the side."/>
    <n v="13.99"/>
    <x v="0"/>
  </r>
  <r>
    <x v="0"/>
    <x v="1"/>
    <x v="12"/>
    <x v="1"/>
    <s v=" Indulge in our Calzone Papa Bites. Packed with a blend of mozzarella and garlic herb ricotta, pepperoni, Italian sausage, and green peppers inside our fresh original dough. Served with original pizza sauce on the side for even more calzone flavor. "/>
    <n v="4.99"/>
    <x v="1"/>
  </r>
  <r>
    <x v="0"/>
    <x v="1"/>
    <x v="12"/>
    <x v="2"/>
    <s v=" Craving what you see? Our newest addition to your Papa Pairings possibilities: Wings! Get any of these and more delectable Papa Johns favorites for just $6.99 each when you pair two or more. "/>
    <n v="6.99"/>
    <x v="2"/>
  </r>
  <r>
    <x v="0"/>
    <x v="1"/>
    <x v="12"/>
    <x v="3"/>
    <s v=" Large 1 Topping Pizza for $9.99  Carryout Only! "/>
    <n v="9.99"/>
    <x v="3"/>
  </r>
  <r>
    <x v="0"/>
    <x v="1"/>
    <x v="12"/>
    <x v="4"/>
    <s v=" Large 1 Topping Pizza for only 12.99, Delivery Only. "/>
    <n v="12.99"/>
    <x v="4"/>
  </r>
  <r>
    <x v="0"/>
    <x v="1"/>
    <x v="12"/>
    <x v="6"/>
    <s v=" Epic Stuff Crust 1-Topping Pizza for ONLY $15.99 "/>
    <n v="15.99"/>
    <x v="6"/>
  </r>
  <r>
    <x v="0"/>
    <x v="1"/>
    <x v="12"/>
    <x v="7"/>
    <s v=" Any 10&quot; original crust specialty or up to 5-topping pizza ONLY $10 "/>
    <n v="10"/>
    <x v="7"/>
  </r>
  <r>
    <x v="0"/>
    <x v="1"/>
    <x v="12"/>
    <x v="20"/>
    <s v=" Large Specialty Pizza $15.99. Carryout ONLY "/>
    <n v="15.99"/>
    <x v="6"/>
  </r>
  <r>
    <x v="0"/>
    <x v="1"/>
    <x v="12"/>
    <x v="8"/>
    <s v=" Enjoy your favorite specialty or any 5-topping pizza on our large original or thin crust pizza "/>
    <n v="18.989999999999998"/>
    <x v="8"/>
  </r>
  <r>
    <x v="0"/>
    <x v="1"/>
    <x v="12"/>
    <x v="21"/>
    <s v=" Two Large Two Topping Pizzas "/>
    <n v="25.99"/>
    <x v="13"/>
  </r>
  <r>
    <x v="0"/>
    <x v="1"/>
    <x v="12"/>
    <x v="13"/>
    <s v=" New York Style 1-Topping Pizza "/>
    <n v="15.99"/>
    <x v="6"/>
  </r>
  <r>
    <x v="0"/>
    <x v="1"/>
    <x v="12"/>
    <x v="14"/>
    <s v=" Any large specialty or 5-topping pizza and a large 2-topping pizza "/>
    <n v="29.99"/>
    <x v="11"/>
  </r>
  <r>
    <x v="0"/>
    <x v="1"/>
    <x v="12"/>
    <x v="16"/>
    <s v=" We know how to hand stuff our crust with the best flavor combos. Experience calzone flavors like never before, this pizza is made with a blend of mozzarella and garlic herb ricotta stuffed into the crust. Comes with your choice of 1 topping. "/>
    <n v="14.99"/>
    <x v="5"/>
  </r>
  <r>
    <x v="0"/>
    <x v="1"/>
    <x v="12"/>
    <x v="22"/>
    <s v=" 25% Off Your Entire Menu Price Order! "/>
    <m/>
    <x v="14"/>
  </r>
  <r>
    <x v="0"/>
    <x v="1"/>
    <x v="12"/>
    <x v="23"/>
    <s v=" Enjoy 30% off regular menu price items when you apply this promo! Papa Johns will donate 10% of the discounted purchase price to Toys for Kids. "/>
    <m/>
    <x v="14"/>
  </r>
  <r>
    <x v="0"/>
    <x v="1"/>
    <x v="13"/>
    <x v="0"/>
    <s v="Garlic sauce fans, you inspired us! We transformed your love for our garlic sauce into our pizza. Enjoy a 1-topping Garlic Epic Stuffed Crust pizza with garlicky goodness inside the cheesy crust, drizzled onto it, and served on the side."/>
    <n v="13.99"/>
    <x v="0"/>
  </r>
  <r>
    <x v="0"/>
    <x v="1"/>
    <x v="13"/>
    <x v="1"/>
    <s v=" Indulge in our Calzone Papa Bites. Packed with a blend of mozzarella and garlic herb ricotta, pepperoni, Italian sausage, and green peppers inside our fresh original dough. Served with original pizza sauce on the side for even more calzone flavor. "/>
    <n v="4.99"/>
    <x v="1"/>
  </r>
  <r>
    <x v="0"/>
    <x v="1"/>
    <x v="13"/>
    <x v="2"/>
    <s v=" Craving what you see? Our newest addition to your Papa Pairings possibilities: Wings! Get any of these and more delectable Papa Johns favorites for just $6.99 each when you pair two or more. "/>
    <n v="6.99"/>
    <x v="2"/>
  </r>
  <r>
    <x v="0"/>
    <x v="1"/>
    <x v="13"/>
    <x v="3"/>
    <s v=" Large 1 Topping Pizza for $9.99  Carryout Only! "/>
    <n v="9.99"/>
    <x v="3"/>
  </r>
  <r>
    <x v="0"/>
    <x v="1"/>
    <x v="13"/>
    <x v="4"/>
    <s v=" Large 1 Topping Pizza for only 12.99, Delivery Only. "/>
    <n v="12.99"/>
    <x v="4"/>
  </r>
  <r>
    <x v="0"/>
    <x v="1"/>
    <x v="13"/>
    <x v="6"/>
    <s v=" Epic Stuff Crust 1-Topping Pizza for ONLY $15.99 "/>
    <n v="15.99"/>
    <x v="6"/>
  </r>
  <r>
    <x v="0"/>
    <x v="1"/>
    <x v="13"/>
    <x v="7"/>
    <s v=" Any 10&quot; original crust specialty or up to 5-topping pizza ONLY $10 "/>
    <n v="10"/>
    <x v="7"/>
  </r>
  <r>
    <x v="0"/>
    <x v="1"/>
    <x v="13"/>
    <x v="20"/>
    <s v=" Large Specialty Pizza $15.99. Carryout ONLY "/>
    <n v="15.99"/>
    <x v="6"/>
  </r>
  <r>
    <x v="0"/>
    <x v="1"/>
    <x v="13"/>
    <x v="8"/>
    <s v=" Enjoy your favorite specialty or any 5-topping pizza on our large original or thin crust pizza "/>
    <n v="18.989999999999998"/>
    <x v="8"/>
  </r>
  <r>
    <x v="0"/>
    <x v="1"/>
    <x v="13"/>
    <x v="21"/>
    <s v=" Two Large Two Topping Pizzas "/>
    <n v="25.99"/>
    <x v="13"/>
  </r>
  <r>
    <x v="0"/>
    <x v="1"/>
    <x v="13"/>
    <x v="13"/>
    <s v=" New York Style 1-Topping Pizza "/>
    <n v="15.99"/>
    <x v="6"/>
  </r>
  <r>
    <x v="0"/>
    <x v="1"/>
    <x v="13"/>
    <x v="14"/>
    <s v=" Any large specialty or 5-topping pizza and a large 2-topping pizza "/>
    <n v="29.99"/>
    <x v="11"/>
  </r>
  <r>
    <x v="0"/>
    <x v="1"/>
    <x v="13"/>
    <x v="16"/>
    <s v=" We know how to hand stuff our crust with the best flavor combos. Experience calzone flavors like never before, this pizza is made with a blend of mozzarella and garlic herb ricotta stuffed into the crust. Comes with your choice of 1 topping. "/>
    <n v="14.99"/>
    <x v="5"/>
  </r>
  <r>
    <x v="0"/>
    <x v="1"/>
    <x v="13"/>
    <x v="22"/>
    <s v=" 25% Off Your Entire Menu Price Order! "/>
    <m/>
    <x v="14"/>
  </r>
  <r>
    <x v="0"/>
    <x v="1"/>
    <x v="13"/>
    <x v="23"/>
    <s v=" Enjoy 30% off regular menu price items when you apply this promo! Papa Johns will donate 10% of the discounted purchase price to Toys for Kids. "/>
    <m/>
    <x v="14"/>
  </r>
  <r>
    <x v="0"/>
    <x v="1"/>
    <x v="14"/>
    <x v="0"/>
    <s v="Garlic sauce fans, you inspired us! We transformed your love for our garlic sauce into our pizza. Enjoy a 1-topping Garlic Epic Stuffed Crust pizza with garlicky goodness inside the cheesy crust, drizzled onto it, and served on the side."/>
    <n v="13.99"/>
    <x v="0"/>
  </r>
  <r>
    <x v="0"/>
    <x v="1"/>
    <x v="14"/>
    <x v="1"/>
    <s v=" Indulge in our Calzone Papa Bites. Packed with a blend of mozzarella and garlic herb ricotta, pepperoni, Italian sausage, and green peppers inside our fresh original dough. Served with original pizza sauce on the side for even more calzone flavor. "/>
    <n v="4.99"/>
    <x v="1"/>
  </r>
  <r>
    <x v="0"/>
    <x v="1"/>
    <x v="14"/>
    <x v="2"/>
    <s v=" Craving what you see? Our newest addition to your Papa Pairings possibilities: Wings! Get any of these and more delectable Papa Johns favorites for just $6.99 each when you pair two or more. "/>
    <n v="6.99"/>
    <x v="2"/>
  </r>
  <r>
    <x v="0"/>
    <x v="1"/>
    <x v="14"/>
    <x v="3"/>
    <s v=" Large 1 Topping Pizza for $9.99  Carryout Only! "/>
    <n v="9.99"/>
    <x v="3"/>
  </r>
  <r>
    <x v="0"/>
    <x v="1"/>
    <x v="14"/>
    <x v="4"/>
    <s v=" Large 1 Topping Pizza for only 12.99, Delivery Only. "/>
    <n v="12.99"/>
    <x v="4"/>
  </r>
  <r>
    <x v="0"/>
    <x v="1"/>
    <x v="14"/>
    <x v="6"/>
    <s v=" Epic Stuff Crust 1-Topping Pizza for ONLY $15.99 "/>
    <n v="15.99"/>
    <x v="6"/>
  </r>
  <r>
    <x v="0"/>
    <x v="1"/>
    <x v="14"/>
    <x v="7"/>
    <s v=" Any 10&quot; original crust specialty or up to 5-topping pizza ONLY $10 "/>
    <n v="10"/>
    <x v="7"/>
  </r>
  <r>
    <x v="0"/>
    <x v="1"/>
    <x v="14"/>
    <x v="20"/>
    <s v=" Large Specialty Pizza $15.99. Carryout ONLY "/>
    <n v="15.99"/>
    <x v="6"/>
  </r>
  <r>
    <x v="0"/>
    <x v="1"/>
    <x v="14"/>
    <x v="8"/>
    <s v=" Enjoy your favorite specialty or any 5-topping pizza on our large original or thin crust pizza "/>
    <n v="18.989999999999998"/>
    <x v="8"/>
  </r>
  <r>
    <x v="0"/>
    <x v="1"/>
    <x v="14"/>
    <x v="21"/>
    <s v=" Two Large Two Topping Pizzas "/>
    <n v="25.99"/>
    <x v="13"/>
  </r>
  <r>
    <x v="0"/>
    <x v="1"/>
    <x v="14"/>
    <x v="13"/>
    <s v=" New York Style 1-Topping Pizza "/>
    <n v="15.99"/>
    <x v="6"/>
  </r>
  <r>
    <x v="0"/>
    <x v="1"/>
    <x v="14"/>
    <x v="14"/>
    <s v=" Any large specialty or 5-topping pizza and a large 2-topping pizza "/>
    <n v="29.99"/>
    <x v="11"/>
  </r>
  <r>
    <x v="0"/>
    <x v="1"/>
    <x v="14"/>
    <x v="16"/>
    <s v=" We know how to hand stuff our crust with the best flavor combos. Experience calzone flavors like never before, this pizza is made with a blend of mozzarella and garlic herb ricotta stuffed into the crust. Comes with your choice of 1 topping. "/>
    <n v="14.99"/>
    <x v="5"/>
  </r>
  <r>
    <x v="0"/>
    <x v="1"/>
    <x v="14"/>
    <x v="22"/>
    <s v=" 25% Off Your Entire Menu Price Order! "/>
    <m/>
    <x v="14"/>
  </r>
  <r>
    <x v="0"/>
    <x v="1"/>
    <x v="14"/>
    <x v="23"/>
    <s v=" Enjoy 30% off regular menu price items when you apply this promo! Papa Johns will donate 10% of the discounted purchase price to Toys for Kids. "/>
    <m/>
    <x v="14"/>
  </r>
  <r>
    <x v="0"/>
    <x v="1"/>
    <x v="15"/>
    <x v="0"/>
    <s v="Garlic sauce fans, you inspired us! We transformed your love for our garlic sauce into our pizza. Enjoy a 1-topping Garlic Epic Stuffed Crust pizza with garlicky goodness inside the cheesy crust, drizzled onto it, and served on the side."/>
    <n v="13.99"/>
    <x v="0"/>
  </r>
  <r>
    <x v="0"/>
    <x v="1"/>
    <x v="15"/>
    <x v="1"/>
    <s v=" Indulge in our Calzone Papa Bites. Packed with a blend of mozzarella and garlic herb ricotta, pepperoni, Italian sausage, and green peppers inside our fresh original dough. Served with original pizza sauce on the side for even more calzone flavor. "/>
    <n v="4.99"/>
    <x v="1"/>
  </r>
  <r>
    <x v="0"/>
    <x v="1"/>
    <x v="15"/>
    <x v="2"/>
    <s v=" Craving what you see? Our newest addition to your Papa Pairings possibilities: Wings! Get any of these and more delectable Papa Johns favorites for just $6.99 each when you pair two or more. "/>
    <n v="6.99"/>
    <x v="2"/>
  </r>
  <r>
    <x v="0"/>
    <x v="1"/>
    <x v="15"/>
    <x v="3"/>
    <s v=" Large 1 Topping Pizza for $9.99  Carryout Only! "/>
    <n v="9.99"/>
    <x v="3"/>
  </r>
  <r>
    <x v="0"/>
    <x v="1"/>
    <x v="15"/>
    <x v="4"/>
    <s v=" Large 1 Topping Pizza for only 12.99, Delivery Only. "/>
    <n v="12.99"/>
    <x v="4"/>
  </r>
  <r>
    <x v="0"/>
    <x v="1"/>
    <x v="15"/>
    <x v="6"/>
    <s v=" Epic Stuff Crust 1-Topping Pizza for ONLY $15.99 "/>
    <n v="15.99"/>
    <x v="6"/>
  </r>
  <r>
    <x v="0"/>
    <x v="1"/>
    <x v="15"/>
    <x v="7"/>
    <s v=" Any 10&quot; original crust specialty or up to 5-topping pizza ONLY $10 "/>
    <n v="10"/>
    <x v="7"/>
  </r>
  <r>
    <x v="0"/>
    <x v="1"/>
    <x v="15"/>
    <x v="20"/>
    <s v=" Large Specialty Pizza $15.99. Carryout ONLY "/>
    <n v="15.99"/>
    <x v="6"/>
  </r>
  <r>
    <x v="0"/>
    <x v="1"/>
    <x v="15"/>
    <x v="8"/>
    <s v=" Enjoy your favorite specialty or any 5-topping pizza on our large original or thin crust pizza "/>
    <n v="18.989999999999998"/>
    <x v="8"/>
  </r>
  <r>
    <x v="0"/>
    <x v="1"/>
    <x v="15"/>
    <x v="21"/>
    <s v=" Two Large Two Topping Pizzas "/>
    <n v="25.99"/>
    <x v="13"/>
  </r>
  <r>
    <x v="0"/>
    <x v="1"/>
    <x v="15"/>
    <x v="13"/>
    <s v=" New York Style 1-Topping Pizza "/>
    <n v="15.99"/>
    <x v="6"/>
  </r>
  <r>
    <x v="0"/>
    <x v="1"/>
    <x v="15"/>
    <x v="14"/>
    <s v=" Any large specialty or 5-topping pizza and a large 2-topping pizza "/>
    <n v="29.99"/>
    <x v="11"/>
  </r>
  <r>
    <x v="0"/>
    <x v="1"/>
    <x v="15"/>
    <x v="16"/>
    <s v=" We know how to hand stuff our crust with the best flavor combos. Experience calzone flavors like never before, this pizza is made with a blend of mozzarella and garlic herb ricotta stuffed into the crust. Comes with your choice of 1 topping. "/>
    <n v="14.99"/>
    <x v="5"/>
  </r>
  <r>
    <x v="0"/>
    <x v="1"/>
    <x v="15"/>
    <x v="22"/>
    <s v=" 25% Off Your Entire Menu Price Order! "/>
    <m/>
    <x v="14"/>
  </r>
  <r>
    <x v="0"/>
    <x v="1"/>
    <x v="15"/>
    <x v="23"/>
    <s v=" Enjoy 30% off regular menu price items when you apply this promo! Papa Johns will donate 10% of the discounted purchase price to Toys for Kids. "/>
    <m/>
    <x v="14"/>
  </r>
  <r>
    <x v="0"/>
    <x v="1"/>
    <x v="16"/>
    <x v="0"/>
    <s v="Garlic sauce fans, you inspired us! We transformed your love for our garlic sauce into our pizza. Enjoy a 1-topping Garlic Epic Stuffed Crust pizza with garlicky goodness inside the cheesy crust, drizzled onto it, and served on the side."/>
    <n v="13.99"/>
    <x v="0"/>
  </r>
  <r>
    <x v="0"/>
    <x v="1"/>
    <x v="16"/>
    <x v="1"/>
    <s v=" Indulge in our Calzone Papa Bites. Packed with a blend of mozzarella and garlic herb ricotta, pepperoni, Italian sausage, and green peppers inside our fresh original dough. Served with original pizza sauce on the side for even more calzone flavor. "/>
    <n v="4.99"/>
    <x v="1"/>
  </r>
  <r>
    <x v="0"/>
    <x v="1"/>
    <x v="16"/>
    <x v="2"/>
    <s v=" Craving what you see? Our newest addition to your Papa Pairings possibilities: Wings! Get any of these and more delectable Papa Johns favorites for just $6.99 each when you pair two or more. "/>
    <n v="6.99"/>
    <x v="2"/>
  </r>
  <r>
    <x v="0"/>
    <x v="1"/>
    <x v="16"/>
    <x v="3"/>
    <s v=" Large 1 Topping Pizza for $9.99  Carryout Only! "/>
    <n v="9.99"/>
    <x v="3"/>
  </r>
  <r>
    <x v="0"/>
    <x v="1"/>
    <x v="16"/>
    <x v="4"/>
    <s v=" Large 1 Topping Pizza for only 12.99, Delivery Only. "/>
    <n v="12.99"/>
    <x v="4"/>
  </r>
  <r>
    <x v="0"/>
    <x v="1"/>
    <x v="16"/>
    <x v="6"/>
    <s v=" Epic Stuff Crust 1-Topping Pizza for ONLY $15.99 "/>
    <n v="15.99"/>
    <x v="6"/>
  </r>
  <r>
    <x v="0"/>
    <x v="1"/>
    <x v="16"/>
    <x v="7"/>
    <s v=" Any 10&quot; original crust specialty or up to 5-topping pizza ONLY $10 "/>
    <n v="10"/>
    <x v="7"/>
  </r>
  <r>
    <x v="0"/>
    <x v="1"/>
    <x v="16"/>
    <x v="20"/>
    <s v=" Large Specialty Pizza $15.99. Carryout ONLY "/>
    <n v="15.99"/>
    <x v="6"/>
  </r>
  <r>
    <x v="0"/>
    <x v="1"/>
    <x v="16"/>
    <x v="8"/>
    <s v=" Enjoy your favorite specialty or any 5-topping pizza on our large original or thin crust pizza "/>
    <n v="18.989999999999998"/>
    <x v="8"/>
  </r>
  <r>
    <x v="0"/>
    <x v="1"/>
    <x v="16"/>
    <x v="21"/>
    <s v=" Two Large Two Topping Pizzas "/>
    <n v="25.99"/>
    <x v="13"/>
  </r>
  <r>
    <x v="0"/>
    <x v="1"/>
    <x v="16"/>
    <x v="13"/>
    <s v=" New York Style 1-Topping Pizza "/>
    <n v="15.99"/>
    <x v="6"/>
  </r>
  <r>
    <x v="0"/>
    <x v="1"/>
    <x v="16"/>
    <x v="14"/>
    <s v=" Any large specialty or 5-topping pizza and a large 2-topping pizza "/>
    <n v="29.99"/>
    <x v="11"/>
  </r>
  <r>
    <x v="0"/>
    <x v="1"/>
    <x v="16"/>
    <x v="16"/>
    <s v=" We know how to hand stuff our crust with the best flavor combos. Experience calzone flavors like never before, this pizza is made with a blend of mozzarella and garlic herb ricotta stuffed into the crust. Comes with your choice of 1 topping. "/>
    <n v="14.99"/>
    <x v="5"/>
  </r>
  <r>
    <x v="0"/>
    <x v="1"/>
    <x v="16"/>
    <x v="22"/>
    <s v=" 25% Off Your Entire Menu Price Order! "/>
    <m/>
    <x v="14"/>
  </r>
  <r>
    <x v="0"/>
    <x v="1"/>
    <x v="16"/>
    <x v="23"/>
    <s v=" Enjoy 30% off regular menu price items when you apply this promo! Papa Johns will donate 10% of the discounted purchase price to Toys for Kids. "/>
    <m/>
    <x v="14"/>
  </r>
  <r>
    <x v="0"/>
    <x v="1"/>
    <x v="17"/>
    <x v="0"/>
    <s v="Garlic sauce fans, you inspired us! We transformed your love for our garlic sauce into our pizza. Enjoy a 1-topping Garlic Epic Stuffed Crust pizza with garlicky goodness inside the cheesy crust, drizzled onto it, and served on the side."/>
    <n v="13.99"/>
    <x v="0"/>
  </r>
  <r>
    <x v="0"/>
    <x v="1"/>
    <x v="17"/>
    <x v="1"/>
    <s v=" Indulge in our Calzone Papa Bites. Packed with a blend of mozzarella and garlic herb ricotta, pepperoni, Italian sausage, and green peppers inside our fresh original dough. Served with original pizza sauce on the side for even more calzone flavor. "/>
    <n v="4.99"/>
    <x v="1"/>
  </r>
  <r>
    <x v="0"/>
    <x v="1"/>
    <x v="17"/>
    <x v="2"/>
    <s v=" Craving what you see? Our newest addition to your Papa Pairings possibilities: Wings! Get any of these and more delectable Papa Johns favorites for just $6.99 each when you pair two or more. "/>
    <n v="6.99"/>
    <x v="2"/>
  </r>
  <r>
    <x v="0"/>
    <x v="1"/>
    <x v="17"/>
    <x v="3"/>
    <s v=" Large 1 Topping Pizza for $9.99  Carryout Only! "/>
    <n v="9.99"/>
    <x v="3"/>
  </r>
  <r>
    <x v="0"/>
    <x v="1"/>
    <x v="17"/>
    <x v="4"/>
    <s v=" Large 1 Topping Pizza for only 12.99, Delivery Only. "/>
    <n v="12.99"/>
    <x v="4"/>
  </r>
  <r>
    <x v="0"/>
    <x v="1"/>
    <x v="17"/>
    <x v="6"/>
    <s v=" Epic Stuff Crust 1-Topping Pizza for ONLY $15.99 "/>
    <n v="15.99"/>
    <x v="6"/>
  </r>
  <r>
    <x v="0"/>
    <x v="1"/>
    <x v="17"/>
    <x v="7"/>
    <s v=" Any 10&quot; original crust specialty or up to 5-topping pizza ONLY $10 "/>
    <n v="10"/>
    <x v="7"/>
  </r>
  <r>
    <x v="0"/>
    <x v="1"/>
    <x v="17"/>
    <x v="20"/>
    <s v=" Large Specialty Pizza $15.99. Carryout ONLY "/>
    <n v="15.99"/>
    <x v="6"/>
  </r>
  <r>
    <x v="0"/>
    <x v="1"/>
    <x v="17"/>
    <x v="8"/>
    <s v=" Enjoy your favorite specialty or any 5-topping pizza on our large original or thin crust pizza "/>
    <n v="18.989999999999998"/>
    <x v="8"/>
  </r>
  <r>
    <x v="0"/>
    <x v="1"/>
    <x v="17"/>
    <x v="21"/>
    <s v=" Two Large Two Topping Pizzas "/>
    <n v="25.99"/>
    <x v="13"/>
  </r>
  <r>
    <x v="0"/>
    <x v="1"/>
    <x v="17"/>
    <x v="13"/>
    <s v=" New York Style 1-Topping Pizza "/>
    <n v="15.99"/>
    <x v="6"/>
  </r>
  <r>
    <x v="0"/>
    <x v="1"/>
    <x v="17"/>
    <x v="14"/>
    <s v=" Any large specialty or 5-topping pizza and a large 2-topping pizza "/>
    <n v="29.99"/>
    <x v="11"/>
  </r>
  <r>
    <x v="0"/>
    <x v="1"/>
    <x v="17"/>
    <x v="16"/>
    <s v=" We know how to hand stuff our crust with the best flavor combos. Experience calzone flavors like never before, this pizza is made with a blend of mozzarella and garlic herb ricotta stuffed into the crust. Comes with your choice of 1 topping. "/>
    <n v="14.99"/>
    <x v="5"/>
  </r>
  <r>
    <x v="0"/>
    <x v="1"/>
    <x v="17"/>
    <x v="22"/>
    <s v=" 25% Off Your Entire Menu Price Order! "/>
    <m/>
    <x v="14"/>
  </r>
  <r>
    <x v="0"/>
    <x v="1"/>
    <x v="17"/>
    <x v="23"/>
    <s v=" Enjoy 30% off regular menu price items when you apply this promo! Papa Johns will donate 10% of the discounted purchase price to Toys for Kids. "/>
    <m/>
    <x v="14"/>
  </r>
  <r>
    <x v="0"/>
    <x v="1"/>
    <x v="18"/>
    <x v="0"/>
    <s v="Garlic sauce fans, you inspired us! We transformed your love for our garlic sauce into our pizza. Enjoy a 1-topping Garlic Epic Stuffed Crust pizza with garlicky goodness inside the cheesy crust, drizzled onto it, and served on the side."/>
    <n v="13.99"/>
    <x v="0"/>
  </r>
  <r>
    <x v="0"/>
    <x v="1"/>
    <x v="18"/>
    <x v="1"/>
    <s v=" Indulge in our Calzone Papa Bites. Packed with a blend of mozzarella and garlic herb ricotta, pepperoni, Italian sausage, and green peppers inside our fresh original dough. Served with original pizza sauce on the side for even more calzone flavor. "/>
    <n v="4.99"/>
    <x v="1"/>
  </r>
  <r>
    <x v="0"/>
    <x v="1"/>
    <x v="18"/>
    <x v="2"/>
    <s v=" Craving what you see? Our newest addition to your Papa Pairings possibilities: Wings! Get any of these and more delectable Papa Johns favorites for just $6.99 each when you pair two or more. "/>
    <n v="6.99"/>
    <x v="2"/>
  </r>
  <r>
    <x v="0"/>
    <x v="1"/>
    <x v="18"/>
    <x v="3"/>
    <s v=" Large 1 Topping Pizza for $9.99  Carryout Only! "/>
    <n v="9.99"/>
    <x v="3"/>
  </r>
  <r>
    <x v="0"/>
    <x v="1"/>
    <x v="18"/>
    <x v="4"/>
    <s v=" Large 1 Topping Pizza for only 12.99, Delivery Only. "/>
    <n v="12.99"/>
    <x v="4"/>
  </r>
  <r>
    <x v="0"/>
    <x v="1"/>
    <x v="18"/>
    <x v="6"/>
    <s v=" Epic Stuff Crust 1-Topping Pizza for ONLY $15.99 "/>
    <n v="15.99"/>
    <x v="6"/>
  </r>
  <r>
    <x v="0"/>
    <x v="1"/>
    <x v="18"/>
    <x v="7"/>
    <s v=" Any 10&quot; original crust specialty or up to 5-topping pizza ONLY $10 "/>
    <n v="10"/>
    <x v="7"/>
  </r>
  <r>
    <x v="0"/>
    <x v="1"/>
    <x v="18"/>
    <x v="20"/>
    <s v=" Large Specialty Pizza $15.99. Carryout ONLY "/>
    <n v="15.99"/>
    <x v="6"/>
  </r>
  <r>
    <x v="0"/>
    <x v="1"/>
    <x v="18"/>
    <x v="8"/>
    <s v=" Enjoy your favorite specialty or any 5-topping pizza on our large original or thin crust pizza "/>
    <n v="18.989999999999998"/>
    <x v="8"/>
  </r>
  <r>
    <x v="0"/>
    <x v="1"/>
    <x v="18"/>
    <x v="21"/>
    <s v=" Two Large Two Topping Pizzas "/>
    <n v="25.99"/>
    <x v="13"/>
  </r>
  <r>
    <x v="0"/>
    <x v="1"/>
    <x v="18"/>
    <x v="13"/>
    <s v=" New York Style 1-Topping Pizza "/>
    <n v="15.99"/>
    <x v="6"/>
  </r>
  <r>
    <x v="0"/>
    <x v="1"/>
    <x v="18"/>
    <x v="14"/>
    <s v=" Any large specialty or 5-topping pizza and a large 2-topping pizza "/>
    <n v="29.99"/>
    <x v="11"/>
  </r>
  <r>
    <x v="0"/>
    <x v="1"/>
    <x v="18"/>
    <x v="16"/>
    <s v=" We know how to hand stuff our crust with the best flavor combos. Experience calzone flavors like never before, this pizza is made with a blend of mozzarella and garlic herb ricotta stuffed into the crust. Comes with your choice of 1 topping. "/>
    <n v="14.99"/>
    <x v="5"/>
  </r>
  <r>
    <x v="0"/>
    <x v="1"/>
    <x v="18"/>
    <x v="22"/>
    <s v=" 25% Off Your Entire Menu Price Order! "/>
    <m/>
    <x v="14"/>
  </r>
  <r>
    <x v="0"/>
    <x v="1"/>
    <x v="18"/>
    <x v="23"/>
    <s v=" Enjoy 30% off regular menu price items when you apply this promo! Papa Johns will donate 10% of the discounted purchase price to Toys for Kids. "/>
    <m/>
    <x v="14"/>
  </r>
  <r>
    <x v="0"/>
    <x v="1"/>
    <x v="19"/>
    <x v="0"/>
    <s v="Garlic sauce fans, you inspired us! We transformed your love for our garlic sauce into our pizza. Enjoy a 1-topping Garlic Epic Stuffed Crust pizza with garlicky goodness inside the cheesy crust, drizzled onto it, and served on the side."/>
    <n v="13.99"/>
    <x v="0"/>
  </r>
  <r>
    <x v="0"/>
    <x v="1"/>
    <x v="19"/>
    <x v="1"/>
    <s v=" Indulge in our Calzone Papa Bites. Packed with a blend of mozzarella and garlic herb ricotta, pepperoni, Italian sausage, and green peppers inside our fresh original dough. Served with original pizza sauce on the side for even more calzone flavor. "/>
    <n v="4.99"/>
    <x v="1"/>
  </r>
  <r>
    <x v="0"/>
    <x v="1"/>
    <x v="19"/>
    <x v="2"/>
    <s v=" Craving what you see? Our newest addition to your Papa Pairings possibilities: Wings! Get any of these and more delectable Papa Johns favorites for just $6.99 each when you pair two or more. "/>
    <n v="6.99"/>
    <x v="2"/>
  </r>
  <r>
    <x v="0"/>
    <x v="1"/>
    <x v="19"/>
    <x v="3"/>
    <s v=" Large 1 Topping Pizza for $9.99  Carryout Only! "/>
    <n v="9.99"/>
    <x v="3"/>
  </r>
  <r>
    <x v="0"/>
    <x v="1"/>
    <x v="19"/>
    <x v="4"/>
    <s v=" Large 1 Topping Pizza for only 12.99, Delivery Only. "/>
    <n v="12.99"/>
    <x v="4"/>
  </r>
  <r>
    <x v="0"/>
    <x v="1"/>
    <x v="19"/>
    <x v="6"/>
    <s v=" Epic Stuff Crust 1-Topping Pizza for ONLY $15.99 "/>
    <n v="15.99"/>
    <x v="6"/>
  </r>
  <r>
    <x v="0"/>
    <x v="1"/>
    <x v="19"/>
    <x v="7"/>
    <s v=" Any 10&quot; original crust specialty or up to 5-topping pizza ONLY $10 "/>
    <n v="10"/>
    <x v="7"/>
  </r>
  <r>
    <x v="0"/>
    <x v="1"/>
    <x v="19"/>
    <x v="20"/>
    <s v=" Large Specialty Pizza $15.99. Carryout ONLY "/>
    <n v="15.99"/>
    <x v="6"/>
  </r>
  <r>
    <x v="0"/>
    <x v="1"/>
    <x v="19"/>
    <x v="8"/>
    <s v=" Enjoy your favorite specialty or any 5-topping pizza on our large original or thin crust pizza "/>
    <n v="18.989999999999998"/>
    <x v="8"/>
  </r>
  <r>
    <x v="0"/>
    <x v="1"/>
    <x v="19"/>
    <x v="21"/>
    <s v=" Two Large Two Topping Pizzas "/>
    <n v="25.99"/>
    <x v="13"/>
  </r>
  <r>
    <x v="0"/>
    <x v="1"/>
    <x v="19"/>
    <x v="13"/>
    <s v=" New York Style 1-Topping Pizza "/>
    <n v="15.99"/>
    <x v="6"/>
  </r>
  <r>
    <x v="0"/>
    <x v="1"/>
    <x v="19"/>
    <x v="14"/>
    <s v=" Any large specialty or 5-topping pizza and a large 2-topping pizza "/>
    <n v="29.99"/>
    <x v="11"/>
  </r>
  <r>
    <x v="0"/>
    <x v="1"/>
    <x v="19"/>
    <x v="16"/>
    <s v=" We know how to hand stuff our crust with the best flavor combos. Experience calzone flavors like never before, this pizza is made with a blend of mozzarella and garlic herb ricotta stuffed into the crust. Comes with your choice of 1 topping. "/>
    <n v="14.99"/>
    <x v="5"/>
  </r>
  <r>
    <x v="0"/>
    <x v="1"/>
    <x v="19"/>
    <x v="22"/>
    <s v=" 25% Off Your Entire Menu Price Order! "/>
    <m/>
    <x v="14"/>
  </r>
  <r>
    <x v="0"/>
    <x v="1"/>
    <x v="19"/>
    <x v="23"/>
    <s v=" Enjoy 30% off regular menu price items when you apply this promo! Papa Johns will donate 10% of the discounted purchase price to Toys for Kids. "/>
    <m/>
    <x v="14"/>
  </r>
  <r>
    <x v="0"/>
    <x v="1"/>
    <x v="20"/>
    <x v="0"/>
    <s v="Garlic sauce fans, you inspired us! We transformed your love for our garlic sauce into our pizza. Enjoy a 1-topping Garlic Epic Stuffed Crust pizza with garlicky goodness inside the cheesy crust, drizzled onto it, and served on the side."/>
    <n v="13.99"/>
    <x v="0"/>
  </r>
  <r>
    <x v="0"/>
    <x v="1"/>
    <x v="20"/>
    <x v="1"/>
    <s v=" Indulge in our Calzone Papa Bites. Packed with a blend of mozzarella and garlic herb ricotta, pepperoni, Italian sausage, and green peppers inside our fresh original dough. Served with original pizza sauce on the side for even more calzone flavor. "/>
    <n v="4.99"/>
    <x v="1"/>
  </r>
  <r>
    <x v="0"/>
    <x v="1"/>
    <x v="20"/>
    <x v="2"/>
    <s v=" Craving what you see? Our newest addition to your Papa Pairings possibilities: Wings! Get any of these and more delectable Papa Johns favorites for just $6.99 each when you pair two or more. "/>
    <n v="6.99"/>
    <x v="2"/>
  </r>
  <r>
    <x v="0"/>
    <x v="1"/>
    <x v="20"/>
    <x v="3"/>
    <s v=" Large 1 Topping Pizza for $9.99  Carryout Only! "/>
    <n v="9.99"/>
    <x v="3"/>
  </r>
  <r>
    <x v="0"/>
    <x v="1"/>
    <x v="20"/>
    <x v="4"/>
    <s v=" Large 1 Topping Pizza for only 12.99, Delivery Only. "/>
    <n v="12.99"/>
    <x v="4"/>
  </r>
  <r>
    <x v="0"/>
    <x v="1"/>
    <x v="20"/>
    <x v="6"/>
    <s v=" Epic Stuff Crust 1-Topping Pizza for ONLY $15.99 "/>
    <n v="15.99"/>
    <x v="6"/>
  </r>
  <r>
    <x v="0"/>
    <x v="1"/>
    <x v="20"/>
    <x v="7"/>
    <s v=" Any 10&quot; original crust specialty or up to 5-topping pizza ONLY $10 "/>
    <n v="10"/>
    <x v="7"/>
  </r>
  <r>
    <x v="0"/>
    <x v="1"/>
    <x v="20"/>
    <x v="20"/>
    <s v=" Large Specialty Pizza $15.99. Carryout ONLY "/>
    <n v="15.99"/>
    <x v="6"/>
  </r>
  <r>
    <x v="0"/>
    <x v="1"/>
    <x v="20"/>
    <x v="8"/>
    <s v=" Enjoy your favorite specialty or any 5-topping pizza on our large original or thin crust pizza "/>
    <n v="18.989999999999998"/>
    <x v="8"/>
  </r>
  <r>
    <x v="0"/>
    <x v="1"/>
    <x v="20"/>
    <x v="21"/>
    <s v=" Two Large Two Topping Pizzas "/>
    <n v="25.99"/>
    <x v="13"/>
  </r>
  <r>
    <x v="0"/>
    <x v="1"/>
    <x v="20"/>
    <x v="13"/>
    <s v=" New York Style 1-Topping Pizza "/>
    <n v="15.99"/>
    <x v="6"/>
  </r>
  <r>
    <x v="0"/>
    <x v="1"/>
    <x v="20"/>
    <x v="14"/>
    <s v=" Any large specialty or 5-topping pizza and a large 2-topping pizza "/>
    <n v="29.99"/>
    <x v="11"/>
  </r>
  <r>
    <x v="0"/>
    <x v="1"/>
    <x v="20"/>
    <x v="16"/>
    <s v=" We know how to hand stuff our crust with the best flavor combos. Experience calzone flavors like never before, this pizza is made with a blend of mozzarella and garlic herb ricotta stuffed into the crust. Comes with your choice of 1 topping. "/>
    <n v="14.99"/>
    <x v="5"/>
  </r>
  <r>
    <x v="0"/>
    <x v="1"/>
    <x v="20"/>
    <x v="22"/>
    <s v=" 25% Off Your Entire Menu Price Order! "/>
    <m/>
    <x v="14"/>
  </r>
  <r>
    <x v="0"/>
    <x v="1"/>
    <x v="20"/>
    <x v="23"/>
    <s v=" Enjoy 30% off regular menu price items when you apply this promo! Papa Johns will donate 10% of the discounted purchase price to Toys for Kids. "/>
    <m/>
    <x v="14"/>
  </r>
  <r>
    <x v="0"/>
    <x v="1"/>
    <x v="21"/>
    <x v="0"/>
    <s v="Garlic sauce fans, you inspired us! We transformed your love for our garlic sauce into our pizza. Enjoy a 1-topping Garlic Epic Stuffed Crust pizza with garlicky goodness inside the cheesy crust, drizzled onto it, and served on the side."/>
    <n v="13.99"/>
    <x v="0"/>
  </r>
  <r>
    <x v="0"/>
    <x v="1"/>
    <x v="21"/>
    <x v="1"/>
    <s v=" Indulge in our Calzone Papa Bites. Packed with a blend of mozzarella and garlic herb ricotta, pepperoni, Italian sausage, and green peppers inside our fresh original dough. Served with original pizza sauce on the side for even more calzone flavor. "/>
    <n v="4.99"/>
    <x v="1"/>
  </r>
  <r>
    <x v="0"/>
    <x v="1"/>
    <x v="21"/>
    <x v="2"/>
    <s v=" Craving what you see? Our newest addition to your Papa Pairings possibilities: Wings! Get any of these and more delectable Papa Johns favorites for just $6.99 each when you pair two or more. "/>
    <n v="6.99"/>
    <x v="2"/>
  </r>
  <r>
    <x v="0"/>
    <x v="1"/>
    <x v="21"/>
    <x v="3"/>
    <s v=" Large 1 Topping Pizza for $9.99  Carryout Only! "/>
    <n v="9.99"/>
    <x v="3"/>
  </r>
  <r>
    <x v="0"/>
    <x v="1"/>
    <x v="21"/>
    <x v="4"/>
    <s v=" Large 1 Topping Pizza for only 12.99, Delivery Only. "/>
    <n v="12.99"/>
    <x v="4"/>
  </r>
  <r>
    <x v="0"/>
    <x v="1"/>
    <x v="21"/>
    <x v="6"/>
    <s v=" Epic Stuff Crust 1-Topping Pizza for ONLY $15.99 "/>
    <n v="15.99"/>
    <x v="6"/>
  </r>
  <r>
    <x v="0"/>
    <x v="1"/>
    <x v="21"/>
    <x v="7"/>
    <s v=" Any 10&quot; original crust specialty or up to 5-topping pizza ONLY $10 "/>
    <n v="10"/>
    <x v="7"/>
  </r>
  <r>
    <x v="0"/>
    <x v="1"/>
    <x v="21"/>
    <x v="20"/>
    <s v=" Large Specialty Pizza $15.99. Carryout ONLY "/>
    <n v="15.99"/>
    <x v="6"/>
  </r>
  <r>
    <x v="0"/>
    <x v="1"/>
    <x v="21"/>
    <x v="8"/>
    <s v=" Enjoy your favorite specialty or any 5-topping pizza on our large original or thin crust pizza "/>
    <n v="18.989999999999998"/>
    <x v="8"/>
  </r>
  <r>
    <x v="0"/>
    <x v="1"/>
    <x v="21"/>
    <x v="21"/>
    <s v=" Two Large Two Topping Pizzas "/>
    <n v="25.99"/>
    <x v="13"/>
  </r>
  <r>
    <x v="0"/>
    <x v="1"/>
    <x v="21"/>
    <x v="14"/>
    <s v=" Any large specialty or 5-topping pizza and a large 2-topping pizza "/>
    <n v="29.99"/>
    <x v="11"/>
  </r>
  <r>
    <x v="0"/>
    <x v="1"/>
    <x v="21"/>
    <x v="16"/>
    <s v=" We know how to hand stuff our crust with the best flavor combos. Experience calzone flavors like never before, this pizza is made with a blend of mozzarella and garlic herb ricotta stuffed into the crust. Comes with your choice of 1 topping. "/>
    <n v="14.99"/>
    <x v="5"/>
  </r>
  <r>
    <x v="0"/>
    <x v="1"/>
    <x v="21"/>
    <x v="22"/>
    <s v=" 25% Off Your Entire Menu Price Order! "/>
    <m/>
    <x v="14"/>
  </r>
  <r>
    <x v="0"/>
    <x v="1"/>
    <x v="21"/>
    <x v="23"/>
    <s v=" Enjoy 30% off regular menu price items when you apply this promo! Papa Johns will donate 10% of the discounted purchase price to Toys for Kids. "/>
    <m/>
    <x v="14"/>
  </r>
  <r>
    <x v="0"/>
    <x v="1"/>
    <x v="22"/>
    <x v="0"/>
    <s v="Garlic sauce fans, you inspired us! We transformed your love for our garlic sauce into our pizza. Enjoy a 1-topping Garlic Epic Stuffed Crust pizza with garlicky goodness inside the cheesy crust, drizzled onto it, and served on the side."/>
    <n v="13.99"/>
    <x v="0"/>
  </r>
  <r>
    <x v="0"/>
    <x v="1"/>
    <x v="22"/>
    <x v="1"/>
    <s v=" Indulge in our Calzone Papa Bites. Packed with a blend of mozzarella and garlic herb ricotta, pepperoni, Italian sausage, and green peppers inside our fresh original dough. Served with original pizza sauce on the side for even more calzone flavor. "/>
    <n v="4.99"/>
    <x v="1"/>
  </r>
  <r>
    <x v="0"/>
    <x v="1"/>
    <x v="22"/>
    <x v="2"/>
    <s v=" Craving what you see? Our newest addition to your Papa Pairings possibilities: Wings! Get any of these and more delectable Papa Johns favorites for just $6.99 each when you pair two or more. "/>
    <n v="6.99"/>
    <x v="2"/>
  </r>
  <r>
    <x v="0"/>
    <x v="1"/>
    <x v="22"/>
    <x v="3"/>
    <s v=" Large 1 Topping Pizza for $9.99  Carryout Only! "/>
    <n v="9.99"/>
    <x v="3"/>
  </r>
  <r>
    <x v="0"/>
    <x v="1"/>
    <x v="22"/>
    <x v="4"/>
    <s v=" Large 1 Topping Pizza for only 12.99, Delivery Only. "/>
    <n v="12.99"/>
    <x v="4"/>
  </r>
  <r>
    <x v="0"/>
    <x v="1"/>
    <x v="22"/>
    <x v="6"/>
    <s v=" Epic Stuff Crust 1-Topping Pizza for ONLY $15.99 "/>
    <n v="15.99"/>
    <x v="6"/>
  </r>
  <r>
    <x v="0"/>
    <x v="1"/>
    <x v="22"/>
    <x v="7"/>
    <s v=" Any 10&quot; original crust specialty or up to 5-topping pizza ONLY $10 "/>
    <n v="10"/>
    <x v="7"/>
  </r>
  <r>
    <x v="0"/>
    <x v="1"/>
    <x v="22"/>
    <x v="20"/>
    <s v=" Large Specialty Pizza $15.99. Carryout ONLY "/>
    <n v="15.99"/>
    <x v="6"/>
  </r>
  <r>
    <x v="0"/>
    <x v="1"/>
    <x v="22"/>
    <x v="8"/>
    <s v=" Enjoy your favorite specialty or any 5-topping pizza on our large original or thin crust pizza "/>
    <n v="18.989999999999998"/>
    <x v="8"/>
  </r>
  <r>
    <x v="0"/>
    <x v="1"/>
    <x v="22"/>
    <x v="21"/>
    <s v=" Two Large Two Topping Pizzas "/>
    <n v="25.99"/>
    <x v="13"/>
  </r>
  <r>
    <x v="0"/>
    <x v="1"/>
    <x v="22"/>
    <x v="13"/>
    <s v=" New York Style 1-Topping Pizza "/>
    <n v="15.99"/>
    <x v="6"/>
  </r>
  <r>
    <x v="0"/>
    <x v="1"/>
    <x v="22"/>
    <x v="14"/>
    <s v=" Any large specialty or 5-topping pizza and a large 2-topping pizza "/>
    <n v="29.99"/>
    <x v="11"/>
  </r>
  <r>
    <x v="0"/>
    <x v="1"/>
    <x v="22"/>
    <x v="16"/>
    <s v=" We know how to hand stuff our crust with the best flavor combos. Experience calzone flavors like never before, this pizza is made with a blend of mozzarella and garlic herb ricotta stuffed into the crust. Comes with your choice of 1 topping. "/>
    <n v="14.99"/>
    <x v="5"/>
  </r>
  <r>
    <x v="0"/>
    <x v="1"/>
    <x v="22"/>
    <x v="22"/>
    <s v=" 25% Off Your Entire Menu Price Order! "/>
    <m/>
    <x v="14"/>
  </r>
  <r>
    <x v="0"/>
    <x v="1"/>
    <x v="22"/>
    <x v="23"/>
    <s v=" Enjoy 30% off regular menu price items when you apply this promo! Papa Johns will donate 10% of the discounted purchase price to Toys for Kids. "/>
    <m/>
    <x v="14"/>
  </r>
  <r>
    <x v="0"/>
    <x v="1"/>
    <x v="23"/>
    <x v="0"/>
    <s v="Garlic sauce fans, you inspired us! We transformed your love for our garlic sauce into our pizza. Enjoy a 1-topping Garlic Epic Stuffed Crust pizza with garlicky goodness inside the cheesy crust, drizzled onto it, and served on the side."/>
    <n v="13.99"/>
    <x v="0"/>
  </r>
  <r>
    <x v="0"/>
    <x v="1"/>
    <x v="23"/>
    <x v="1"/>
    <s v=" Indulge in our Calzone Papa Bites. Packed with a blend of mozzarella and garlic herb ricotta, pepperoni, Italian sausage, and green peppers inside our fresh original dough. Served with original pizza sauce on the side for even more calzone flavor. "/>
    <n v="4.99"/>
    <x v="1"/>
  </r>
  <r>
    <x v="0"/>
    <x v="1"/>
    <x v="23"/>
    <x v="2"/>
    <s v=" Craving what you see? Our newest addition to your Papa Pairings possibilities: Wings! Get any of these and more delectable Papa Johns favorites for just $6.99 each when you pair two or more. "/>
    <n v="6.99"/>
    <x v="2"/>
  </r>
  <r>
    <x v="0"/>
    <x v="1"/>
    <x v="23"/>
    <x v="3"/>
    <s v=" Large 1 Topping Pizza for $9.99  Carryout Only! "/>
    <n v="9.99"/>
    <x v="3"/>
  </r>
  <r>
    <x v="0"/>
    <x v="1"/>
    <x v="23"/>
    <x v="4"/>
    <s v=" Large 1 Topping Pizza for only 12.99, Delivery Only. "/>
    <n v="12.99"/>
    <x v="4"/>
  </r>
  <r>
    <x v="0"/>
    <x v="1"/>
    <x v="23"/>
    <x v="6"/>
    <s v=" Epic Stuff Crust 1-Topping Pizza for ONLY $15.99 "/>
    <n v="15.99"/>
    <x v="6"/>
  </r>
  <r>
    <x v="0"/>
    <x v="1"/>
    <x v="23"/>
    <x v="7"/>
    <s v=" Any 10&quot; original crust specialty or up to 5-topping pizza ONLY $10 "/>
    <n v="10"/>
    <x v="7"/>
  </r>
  <r>
    <x v="0"/>
    <x v="1"/>
    <x v="23"/>
    <x v="20"/>
    <s v=" Large Specialty Pizza $15.99. Carryout ONLY "/>
    <n v="15.99"/>
    <x v="6"/>
  </r>
  <r>
    <x v="0"/>
    <x v="1"/>
    <x v="23"/>
    <x v="8"/>
    <s v=" Enjoy your favorite specialty or any 5-topping pizza on our large original or thin crust pizza "/>
    <n v="18.989999999999998"/>
    <x v="8"/>
  </r>
  <r>
    <x v="0"/>
    <x v="1"/>
    <x v="23"/>
    <x v="21"/>
    <s v=" Two Large Two Topping Pizzas "/>
    <n v="25.99"/>
    <x v="13"/>
  </r>
  <r>
    <x v="0"/>
    <x v="1"/>
    <x v="23"/>
    <x v="13"/>
    <s v=" New York Style 1-Topping Pizza "/>
    <n v="15.99"/>
    <x v="6"/>
  </r>
  <r>
    <x v="0"/>
    <x v="1"/>
    <x v="23"/>
    <x v="14"/>
    <s v=" Any large specialty or 5-topping pizza and a large 2-topping pizza "/>
    <n v="29.99"/>
    <x v="11"/>
  </r>
  <r>
    <x v="0"/>
    <x v="1"/>
    <x v="23"/>
    <x v="16"/>
    <s v=" We know how to hand stuff our crust with the best flavor combos. Experience calzone flavors like never before, this pizza is made with a blend of mozzarella and garlic herb ricotta stuffed into the crust. Comes with your choice of 1 topping. "/>
    <n v="14.99"/>
    <x v="5"/>
  </r>
  <r>
    <x v="0"/>
    <x v="1"/>
    <x v="23"/>
    <x v="22"/>
    <s v=" 25% Off Your Entire Menu Price Order! "/>
    <m/>
    <x v="14"/>
  </r>
  <r>
    <x v="0"/>
    <x v="1"/>
    <x v="23"/>
    <x v="23"/>
    <s v=" Enjoy 30% off regular menu price items when you apply this promo! Papa Johns will donate 10% of the discounted purchase price to Toys for Kids. "/>
    <m/>
    <x v="14"/>
  </r>
  <r>
    <x v="0"/>
    <x v="1"/>
    <x v="24"/>
    <x v="0"/>
    <s v="Garlic sauce fans, you inspired us! We transformed your love for our garlic sauce into our pizza. Enjoy a 1-topping Garlic Epic Stuffed Crust pizza with garlicky goodness inside the cheesy crust, drizzled onto it, and served on the side."/>
    <n v="13.99"/>
    <x v="0"/>
  </r>
  <r>
    <x v="0"/>
    <x v="1"/>
    <x v="24"/>
    <x v="1"/>
    <s v=" Indulge in our Calzone Papa Bites. Packed with a blend of mozzarella and garlic herb ricotta, pepperoni, Italian sausage, and green peppers inside our fresh original dough. Served with original pizza sauce on the side for even more calzone flavor. "/>
    <n v="4.99"/>
    <x v="1"/>
  </r>
  <r>
    <x v="0"/>
    <x v="1"/>
    <x v="24"/>
    <x v="2"/>
    <s v=" Craving what you see? Our newest addition to your Papa Pairings possibilities: Wings! Get any of these and more delectable Papa Johns favorites for just $6.99 each when you pair two or more. "/>
    <n v="6.99"/>
    <x v="2"/>
  </r>
  <r>
    <x v="0"/>
    <x v="1"/>
    <x v="24"/>
    <x v="3"/>
    <s v=" Large 1 Topping Pizza for $9.99  Carryout Only! "/>
    <n v="9.99"/>
    <x v="3"/>
  </r>
  <r>
    <x v="0"/>
    <x v="1"/>
    <x v="24"/>
    <x v="4"/>
    <s v=" Large 1 Topping Pizza for only 12.99, Delivery Only. "/>
    <n v="12.99"/>
    <x v="4"/>
  </r>
  <r>
    <x v="0"/>
    <x v="1"/>
    <x v="24"/>
    <x v="6"/>
    <s v=" Epic Stuff Crust 1-Topping Pizza for ONLY $15.99 "/>
    <n v="15.99"/>
    <x v="6"/>
  </r>
  <r>
    <x v="0"/>
    <x v="1"/>
    <x v="24"/>
    <x v="7"/>
    <s v=" Any 10&quot; original crust specialty or up to 5-topping pizza ONLY $10 "/>
    <n v="10"/>
    <x v="7"/>
  </r>
  <r>
    <x v="0"/>
    <x v="1"/>
    <x v="24"/>
    <x v="20"/>
    <s v=" Large Specialty Pizza $15.99. Carryout ONLY "/>
    <n v="15.99"/>
    <x v="6"/>
  </r>
  <r>
    <x v="0"/>
    <x v="1"/>
    <x v="24"/>
    <x v="8"/>
    <s v=" Enjoy your favorite specialty or any 5-topping pizza on our large original or thin crust pizza "/>
    <n v="18.989999999999998"/>
    <x v="8"/>
  </r>
  <r>
    <x v="0"/>
    <x v="1"/>
    <x v="24"/>
    <x v="21"/>
    <s v=" Two Large Two Topping Pizzas "/>
    <n v="25.99"/>
    <x v="13"/>
  </r>
  <r>
    <x v="0"/>
    <x v="1"/>
    <x v="24"/>
    <x v="13"/>
    <s v=" New York Style 1-Topping Pizza "/>
    <n v="15.99"/>
    <x v="6"/>
  </r>
  <r>
    <x v="0"/>
    <x v="1"/>
    <x v="24"/>
    <x v="14"/>
    <s v=" Any large specialty or 5-topping pizza and a large 2-topping pizza "/>
    <n v="29.99"/>
    <x v="11"/>
  </r>
  <r>
    <x v="0"/>
    <x v="1"/>
    <x v="24"/>
    <x v="16"/>
    <s v=" We know how to hand stuff our crust with the best flavor combos. Experience calzone flavors like never before, this pizza is made with a blend of mozzarella and garlic herb ricotta stuffed into the crust. Comes with your choice of 1 topping. "/>
    <n v="14.99"/>
    <x v="5"/>
  </r>
  <r>
    <x v="0"/>
    <x v="1"/>
    <x v="24"/>
    <x v="22"/>
    <s v=" 25% Off Your Entire Menu Price Order! "/>
    <m/>
    <x v="14"/>
  </r>
  <r>
    <x v="0"/>
    <x v="1"/>
    <x v="24"/>
    <x v="23"/>
    <s v=" Enjoy 30% off regular menu price items when you apply this promo! Papa Johns will donate 10% of the discounted purchase price to Toys for Kids. "/>
    <m/>
    <x v="14"/>
  </r>
  <r>
    <x v="0"/>
    <x v="1"/>
    <x v="25"/>
    <x v="0"/>
    <s v="Garlic sauce fans, you inspired us! We transformed your love for our garlic sauce into our pizza. Enjoy a 1-topping Garlic Epic Stuffed Crust pizza with garlicky goodness inside the cheesy crust, drizzled onto it, and served on the side."/>
    <n v="13.99"/>
    <x v="0"/>
  </r>
  <r>
    <x v="0"/>
    <x v="1"/>
    <x v="25"/>
    <x v="1"/>
    <s v=" Indulge in our Calzone Papa Bites. Packed with a blend of mozzarella and garlic herb ricotta, pepperoni, Italian sausage, and green peppers inside our fresh original dough. Served with original pizza sauce on the side for even more calzone flavor. "/>
    <n v="4.99"/>
    <x v="1"/>
  </r>
  <r>
    <x v="0"/>
    <x v="1"/>
    <x v="25"/>
    <x v="2"/>
    <s v=" Craving what you see? Our newest addition to your Papa Pairings possibilities: Wings! Get any of these and more delectable Papa Johns favorites for just $6.99 each when you pair two or more. "/>
    <n v="6.99"/>
    <x v="2"/>
  </r>
  <r>
    <x v="0"/>
    <x v="1"/>
    <x v="25"/>
    <x v="3"/>
    <s v=" Large 1 Topping Pizza for $9.99  Carryout Only! "/>
    <n v="9.99"/>
    <x v="3"/>
  </r>
  <r>
    <x v="0"/>
    <x v="1"/>
    <x v="25"/>
    <x v="4"/>
    <s v=" Large 1 Topping Pizza for only 12.99, Delivery Only. "/>
    <n v="12.99"/>
    <x v="4"/>
  </r>
  <r>
    <x v="0"/>
    <x v="1"/>
    <x v="25"/>
    <x v="6"/>
    <s v=" Epic Stuff Crust 1-Topping Pizza for ONLY $15.99 "/>
    <n v="15.99"/>
    <x v="6"/>
  </r>
  <r>
    <x v="0"/>
    <x v="1"/>
    <x v="25"/>
    <x v="7"/>
    <s v=" Any 10&quot; original crust specialty or up to 5-topping pizza ONLY $10 "/>
    <n v="10"/>
    <x v="7"/>
  </r>
  <r>
    <x v="0"/>
    <x v="1"/>
    <x v="25"/>
    <x v="20"/>
    <s v=" Large Specialty Pizza $15.99. Carryout ONLY "/>
    <n v="15.99"/>
    <x v="6"/>
  </r>
  <r>
    <x v="0"/>
    <x v="1"/>
    <x v="25"/>
    <x v="8"/>
    <s v=" Enjoy your favorite specialty or any 5-topping pizza on our large original or thin crust pizza "/>
    <n v="18.989999999999998"/>
    <x v="8"/>
  </r>
  <r>
    <x v="0"/>
    <x v="1"/>
    <x v="25"/>
    <x v="21"/>
    <s v=" Two Large Two Topping Pizzas "/>
    <n v="25.99"/>
    <x v="13"/>
  </r>
  <r>
    <x v="0"/>
    <x v="1"/>
    <x v="25"/>
    <x v="13"/>
    <s v=" New York Style 1-Topping Pizza "/>
    <n v="15.99"/>
    <x v="6"/>
  </r>
  <r>
    <x v="0"/>
    <x v="1"/>
    <x v="25"/>
    <x v="14"/>
    <s v=" Any large specialty or 5-topping pizza and a large 2-topping pizza "/>
    <n v="29.99"/>
    <x v="11"/>
  </r>
  <r>
    <x v="0"/>
    <x v="1"/>
    <x v="25"/>
    <x v="16"/>
    <s v=" We know how to hand stuff our crust with the best flavor combos. Experience calzone flavors like never before, this pizza is made with a blend of mozzarella and garlic herb ricotta stuffed into the crust. Comes with your choice of 1 topping. "/>
    <n v="14.99"/>
    <x v="5"/>
  </r>
  <r>
    <x v="0"/>
    <x v="1"/>
    <x v="25"/>
    <x v="22"/>
    <s v=" 25% Off Your Entire Menu Price Order! "/>
    <m/>
    <x v="14"/>
  </r>
  <r>
    <x v="0"/>
    <x v="1"/>
    <x v="25"/>
    <x v="23"/>
    <s v=" Enjoy 30% off regular menu price items when you apply this promo! Papa Johns will donate 10% of the discounted purchase price to Toys for Kids. "/>
    <m/>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57DE9C-2A6E-410E-B454-68A11C1BB1DC}" name="PivotTable1" cacheId="4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5:Y32" firstHeaderRow="1" firstDataRow="2" firstDataCol="1" rowPageCount="3" colPageCount="1"/>
  <pivotFields count="7">
    <pivotField axis="axisPage" showAll="0">
      <items count="2">
        <item x="0"/>
        <item t="default"/>
      </items>
    </pivotField>
    <pivotField axis="axisPage" showAll="0">
      <items count="3">
        <item x="0"/>
        <item x="1"/>
        <item t="default"/>
      </items>
    </pivotField>
    <pivotField axis="axisRow" showAll="0" sortType="ascending">
      <items count="27">
        <item x="0"/>
        <item x="1"/>
        <item x="2"/>
        <item x="3"/>
        <item x="12"/>
        <item x="4"/>
        <item x="5"/>
        <item x="22"/>
        <item x="13"/>
        <item x="6"/>
        <item x="14"/>
        <item x="7"/>
        <item x="8"/>
        <item x="15"/>
        <item x="23"/>
        <item x="16"/>
        <item x="17"/>
        <item x="9"/>
        <item x="18"/>
        <item x="24"/>
        <item x="25"/>
        <item x="10"/>
        <item x="19"/>
        <item x="11"/>
        <item x="20"/>
        <item x="21"/>
        <item t="default"/>
      </items>
    </pivotField>
    <pivotField axis="axisCol" showAll="0" sortType="ascending">
      <items count="25">
        <item x="2"/>
        <item x="0"/>
        <item x="1"/>
        <item x="3"/>
        <item x="4"/>
        <item x="6"/>
        <item x="7"/>
        <item x="20"/>
        <item x="8"/>
        <item x="21"/>
        <item x="13"/>
        <item x="14"/>
        <item x="16"/>
        <item x="22"/>
        <item x="23"/>
        <item x="5"/>
        <item x="9"/>
        <item x="10"/>
        <item x="11"/>
        <item x="12"/>
        <item x="15"/>
        <item x="17"/>
        <item x="18"/>
        <item x="19"/>
        <item t="default"/>
      </items>
      <autoSortScope>
        <pivotArea dataOnly="0" outline="0" fieldPosition="0">
          <references count="1">
            <reference field="4294967294" count="1" selected="0">
              <x v="0"/>
            </reference>
          </references>
        </pivotArea>
      </autoSortScope>
    </pivotField>
    <pivotField showAll="0"/>
    <pivotField dataField="1" showAll="0"/>
    <pivotField axis="axisPage" multipleItemSelectionAllowed="1" showAll="0">
      <items count="16">
        <item x="1"/>
        <item x="2"/>
        <item x="3"/>
        <item x="0"/>
        <item x="4"/>
        <item x="6"/>
        <item x="7"/>
        <item x="8"/>
        <item x="13"/>
        <item x="11"/>
        <item x="5"/>
        <item x="9"/>
        <item x="10"/>
        <item x="12"/>
        <item x="14"/>
        <item t="default"/>
      </items>
    </pivotField>
  </pivotFields>
  <rowFields count="1">
    <field x="2"/>
  </rowFields>
  <rowItems count="26">
    <i>
      <x/>
    </i>
    <i>
      <x v="1"/>
    </i>
    <i>
      <x v="2"/>
    </i>
    <i>
      <x v="3"/>
    </i>
    <i>
      <x v="4"/>
    </i>
    <i>
      <x v="5"/>
    </i>
    <i>
      <x v="6"/>
    </i>
    <i>
      <x v="7"/>
    </i>
    <i>
      <x v="8"/>
    </i>
    <i>
      <x v="9"/>
    </i>
    <i>
      <x v="10"/>
    </i>
    <i>
      <x v="11"/>
    </i>
    <i>
      <x v="12"/>
    </i>
    <i>
      <x v="13"/>
    </i>
    <i>
      <x v="14"/>
    </i>
    <i>
      <x v="15"/>
    </i>
    <i>
      <x v="16"/>
    </i>
    <i>
      <x v="17"/>
    </i>
    <i>
      <x v="18"/>
    </i>
    <i>
      <x v="19"/>
    </i>
    <i>
      <x v="20"/>
    </i>
    <i>
      <x v="21"/>
    </i>
    <i>
      <x v="22"/>
    </i>
    <i>
      <x v="23"/>
    </i>
    <i>
      <x v="24"/>
    </i>
    <i>
      <x v="25"/>
    </i>
  </rowItems>
  <colFields count="1">
    <field x="3"/>
  </colFields>
  <colItems count="24">
    <i>
      <x v="14"/>
    </i>
    <i>
      <x v="13"/>
    </i>
    <i>
      <x v="21"/>
    </i>
    <i>
      <x v="22"/>
    </i>
    <i>
      <x v="23"/>
    </i>
    <i>
      <x v="16"/>
    </i>
    <i>
      <x v="2"/>
    </i>
    <i>
      <x v="15"/>
    </i>
    <i>
      <x v="17"/>
    </i>
    <i>
      <x/>
    </i>
    <i>
      <x v="20"/>
    </i>
    <i>
      <x v="18"/>
    </i>
    <i>
      <x v="7"/>
    </i>
    <i>
      <x v="19"/>
    </i>
    <i>
      <x v="3"/>
    </i>
    <i>
      <x v="6"/>
    </i>
    <i>
      <x v="4"/>
    </i>
    <i>
      <x v="1"/>
    </i>
    <i>
      <x v="9"/>
    </i>
    <i>
      <x v="12"/>
    </i>
    <i>
      <x v="10"/>
    </i>
    <i>
      <x v="5"/>
    </i>
    <i>
      <x v="8"/>
    </i>
    <i>
      <x v="11"/>
    </i>
  </colItems>
  <pageFields count="3">
    <pageField fld="0" hier="-1"/>
    <pageField fld="1" hier="-1"/>
    <pageField fld="6" hier="-1"/>
  </pageFields>
  <dataFields count="1">
    <dataField name="Sum of price"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B22674F-1C29-4B95-AD8A-305098160102}" autoFormatId="16" applyNumberFormats="0" applyBorderFormats="0" applyFontFormats="0" applyPatternFormats="0" applyAlignmentFormats="0" applyWidthHeightFormats="0">
  <queryTableRefresh nextId="8">
    <queryTableFields count="7">
      <queryTableField id="1" name="Source.Name" tableColumnId="1"/>
      <queryTableField id="2" name="DO or Franchise Name  " tableColumnId="2"/>
      <queryTableField id="3" dataBound="0" tableColumnId="3"/>
      <queryTableField id="4" dataBound="0" tableColumnId="4"/>
      <queryTableField id="5" dataBound="0" tableColumnId="5"/>
      <queryTableField id="6" dataBound="0" tableColumnId="6"/>
      <queryTableField id="7" name="price sort" tableColumnId="7"/>
    </queryTableFields>
    <queryTableDeletedFields count="4">
      <deletedField name="store"/>
      <deletedField name="offer"/>
      <deletedField name="description"/>
      <deletedField name="price"/>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62B6EC6-E6B7-42F4-91B5-9E5EEF47B37F}" name="Export" displayName="Export" ref="A1:G414" tableType="queryTable" totalsRowShown="0">
  <autoFilter ref="A1:G414" xr:uid="{362B6EC6-E6B7-42F4-91B5-9E5EEF47B37F}"/>
  <tableColumns count="7">
    <tableColumn id="1" xr3:uid="{276F8AAD-2C59-4E6E-8B1C-BE668B204EA1}" uniqueName="1" name="Source.Name" queryTableFieldId="1" dataDxfId="5"/>
    <tableColumn id="2" xr3:uid="{6F5F0993-CACA-4317-AED2-6A31940E6DA5}" uniqueName="2" name="DO or Franchise Name  " queryTableFieldId="2" dataDxfId="4"/>
    <tableColumn id="3" xr3:uid="{DA153C44-7C61-44FA-96F7-F7FD3C653B2D}" uniqueName="3" name="store" queryTableFieldId="3"/>
    <tableColumn id="4" xr3:uid="{10B486F1-2147-4B0A-B95D-2BC68CC4074D}" uniqueName="4" name="offer" queryTableFieldId="4" dataDxfId="3"/>
    <tableColumn id="5" xr3:uid="{F9541BC5-B793-4505-8A14-0340E98CCF77}" uniqueName="5" name="description" queryTableFieldId="5" dataDxfId="2"/>
    <tableColumn id="6" xr3:uid="{71145E55-424A-415E-87D8-C5519652D8CF}" uniqueName="6" name="price" queryTableFieldId="6" dataDxfId="1"/>
    <tableColumn id="7" xr3:uid="{0ED7A391-C257-4243-A9CC-B82AB7557CCC}" uniqueName="7" name="price sort" queryTableFieldId="7"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0A42F67-B701-4266-A24D-33E359DB9D77}" name="Table2" displayName="Table2" ref="A1:B27" totalsRowShown="0">
  <autoFilter ref="A1:B27" xr:uid="{A0A42F67-B701-4266-A24D-33E359DB9D77}"/>
  <tableColumns count="2">
    <tableColumn id="1" xr3:uid="{041E53D9-DF5D-4F5F-9123-1DFD00F04C50}" name="store #"/>
    <tableColumn id="2" xr3:uid="{DEE18376-C713-4F8E-B074-F542762AB832}" name="Franchis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A48D-3D5E-43E3-96DC-FDFEFCCD4D63}">
  <sheetPr codeName="Sheet7"/>
  <dimension ref="A1"/>
  <sheetViews>
    <sheetView workbookViewId="0">
      <selection activeCell="C13" sqref="C13"/>
    </sheetView>
  </sheetViews>
  <sheetFormatPr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efresh_pivot_table">
                <anchor moveWithCells="1" sizeWithCells="1">
                  <from>
                    <xdr:col>1</xdr:col>
                    <xdr:colOff>142875</xdr:colOff>
                    <xdr:row>1</xdr:row>
                    <xdr:rowOff>76200</xdr:rowOff>
                  </from>
                  <to>
                    <xdr:col>4</xdr:col>
                    <xdr:colOff>266700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72773-ECDB-439F-809C-EAC03E53128A}">
  <sheetPr codeName="Sheet1"/>
  <dimension ref="A1:Y32"/>
  <sheetViews>
    <sheetView tabSelected="1" workbookViewId="0">
      <selection activeCell="E20" sqref="E20"/>
    </sheetView>
  </sheetViews>
  <sheetFormatPr defaultRowHeight="15" x14ac:dyDescent="0.25"/>
  <cols>
    <col min="1" max="1" width="21.85546875" bestFit="1" customWidth="1"/>
    <col min="2" max="2" width="23.42578125" bestFit="1" customWidth="1"/>
    <col min="3" max="3" width="57.5703125" bestFit="1" customWidth="1"/>
    <col min="4" max="4" width="45.28515625" bestFit="1" customWidth="1"/>
    <col min="5" max="5" width="38.28515625" bestFit="1" customWidth="1"/>
    <col min="6" max="6" width="134.28515625" bestFit="1" customWidth="1"/>
    <col min="7" max="7" width="10.28515625" bestFit="1" customWidth="1"/>
    <col min="8" max="8" width="17.85546875" bestFit="1" customWidth="1"/>
    <col min="9" max="9" width="40.5703125" bestFit="1" customWidth="1"/>
    <col min="10" max="10" width="33.42578125" bestFit="1" customWidth="1"/>
    <col min="11" max="11" width="12.7109375" bestFit="1" customWidth="1"/>
    <col min="12" max="12" width="28.7109375" bestFit="1" customWidth="1"/>
    <col min="13" max="13" width="25.28515625" bestFit="1" customWidth="1"/>
    <col min="14" max="14" width="33.85546875" bestFit="1" customWidth="1"/>
    <col min="15" max="15" width="22.5703125" bestFit="1" customWidth="1"/>
    <col min="16" max="16" width="42.42578125" bestFit="1" customWidth="1"/>
    <col min="17" max="17" width="16" bestFit="1" customWidth="1"/>
    <col min="18" max="18" width="20.140625" bestFit="1" customWidth="1"/>
    <col min="19" max="19" width="44.42578125" bestFit="1" customWidth="1"/>
    <col min="20" max="20" width="14.140625" bestFit="1" customWidth="1"/>
    <col min="21" max="21" width="36.5703125" bestFit="1" customWidth="1"/>
    <col min="22" max="22" width="23.28515625" bestFit="1" customWidth="1"/>
    <col min="23" max="23" width="31.42578125" bestFit="1" customWidth="1"/>
    <col min="24" max="24" width="42.5703125" bestFit="1" customWidth="1"/>
    <col min="25" max="25" width="13.7109375" bestFit="1" customWidth="1"/>
    <col min="26" max="26" width="44.7109375" bestFit="1" customWidth="1"/>
    <col min="27" max="27" width="23.85546875" bestFit="1" customWidth="1"/>
    <col min="28" max="28" width="17.7109375" bestFit="1" customWidth="1"/>
    <col min="29" max="29" width="13.140625" bestFit="1" customWidth="1"/>
    <col min="30" max="30" width="17.28515625" bestFit="1" customWidth="1"/>
    <col min="31" max="31" width="18.85546875" bestFit="1" customWidth="1"/>
    <col min="32" max="32" width="15.7109375" bestFit="1" customWidth="1"/>
    <col min="33" max="33" width="20.140625" bestFit="1" customWidth="1"/>
    <col min="34" max="34" width="19.140625" bestFit="1" customWidth="1"/>
    <col min="35" max="35" width="12.85546875" bestFit="1" customWidth="1"/>
    <col min="36" max="36" width="15.7109375" bestFit="1" customWidth="1"/>
    <col min="37" max="37" width="24" bestFit="1" customWidth="1"/>
    <col min="38" max="38" width="20.5703125" bestFit="1" customWidth="1"/>
    <col min="39" max="39" width="23.7109375" bestFit="1" customWidth="1"/>
    <col min="40" max="40" width="14.85546875" bestFit="1" customWidth="1"/>
    <col min="41" max="41" width="18.85546875" bestFit="1" customWidth="1"/>
    <col min="42" max="42" width="12.28515625" bestFit="1" customWidth="1"/>
    <col min="43" max="43" width="17.85546875" bestFit="1" customWidth="1"/>
    <col min="44" max="44" width="18.28515625" bestFit="1" customWidth="1"/>
    <col min="45" max="45" width="15.140625" bestFit="1" customWidth="1"/>
    <col min="46" max="46" width="15.28515625" bestFit="1" customWidth="1"/>
    <col min="47" max="47" width="10.42578125" bestFit="1" customWidth="1"/>
    <col min="48" max="48" width="14.28515625" bestFit="1" customWidth="1"/>
    <col min="49" max="49" width="25.7109375" bestFit="1" customWidth="1"/>
    <col min="50" max="50" width="22.5703125" bestFit="1" customWidth="1"/>
    <col min="51" max="51" width="16" bestFit="1" customWidth="1"/>
    <col min="52" max="52" width="19.7109375" bestFit="1" customWidth="1"/>
    <col min="53" max="53" width="12.7109375" bestFit="1" customWidth="1"/>
    <col min="54" max="54" width="17.85546875" bestFit="1" customWidth="1"/>
    <col min="55" max="55" width="9.28515625" bestFit="1" customWidth="1"/>
  </cols>
  <sheetData>
    <row r="1" spans="1:25" x14ac:dyDescent="0.25">
      <c r="A1" s="1" t="s">
        <v>0</v>
      </c>
      <c r="B1" t="s">
        <v>8</v>
      </c>
      <c r="C1" s="3" t="s">
        <v>13</v>
      </c>
      <c r="E1" s="3" t="s">
        <v>14</v>
      </c>
      <c r="F1" s="4" t="str">
        <f>Reference!F4</f>
        <v>1740, 1743, 2172, 2174, 2208, 2236, 2272, 2306, 2325, 2457, 2478, 2549, 2603, 2612, 2618, 2687, 2921, 2953, 3015, 3130, 3479, 3498, 4405, 4778, 5293, 5296</v>
      </c>
    </row>
    <row r="2" spans="1:25" x14ac:dyDescent="0.25">
      <c r="A2" s="1" t="s">
        <v>1</v>
      </c>
      <c r="B2" t="s">
        <v>8</v>
      </c>
      <c r="C2" s="3" t="s">
        <v>13</v>
      </c>
      <c r="E2" s="3" t="s">
        <v>17</v>
      </c>
      <c r="F2" s="3" t="str">
        <f>Reference!F5</f>
        <v>None</v>
      </c>
    </row>
    <row r="3" spans="1:25" x14ac:dyDescent="0.25">
      <c r="A3" s="1" t="s">
        <v>12</v>
      </c>
      <c r="B3" t="s">
        <v>8</v>
      </c>
    </row>
    <row r="5" spans="1:25" x14ac:dyDescent="0.25">
      <c r="A5" s="1" t="s">
        <v>11</v>
      </c>
      <c r="B5" s="1" t="s">
        <v>10</v>
      </c>
    </row>
    <row r="6" spans="1:25" x14ac:dyDescent="0.25">
      <c r="A6" s="1" t="s">
        <v>9</v>
      </c>
      <c r="B6" t="s">
        <v>44</v>
      </c>
      <c r="C6" t="s">
        <v>42</v>
      </c>
      <c r="D6" t="s">
        <v>59</v>
      </c>
      <c r="E6" t="s">
        <v>61</v>
      </c>
      <c r="F6" t="s">
        <v>63</v>
      </c>
      <c r="G6" t="s">
        <v>49</v>
      </c>
      <c r="H6" t="s">
        <v>20</v>
      </c>
      <c r="I6" t="s">
        <v>46</v>
      </c>
      <c r="J6" t="s">
        <v>51</v>
      </c>
      <c r="K6" t="s">
        <v>6</v>
      </c>
      <c r="L6" t="s">
        <v>57</v>
      </c>
      <c r="M6" t="s">
        <v>53</v>
      </c>
      <c r="N6" t="s">
        <v>30</v>
      </c>
      <c r="O6" t="s">
        <v>55</v>
      </c>
      <c r="P6" t="s">
        <v>22</v>
      </c>
      <c r="Q6" t="s">
        <v>28</v>
      </c>
      <c r="R6" t="s">
        <v>24</v>
      </c>
      <c r="S6" t="s">
        <v>18</v>
      </c>
      <c r="T6" t="s">
        <v>34</v>
      </c>
      <c r="U6" t="s">
        <v>40</v>
      </c>
      <c r="V6" t="s">
        <v>36</v>
      </c>
      <c r="W6" t="s">
        <v>26</v>
      </c>
      <c r="X6" t="s">
        <v>32</v>
      </c>
      <c r="Y6" t="s">
        <v>38</v>
      </c>
    </row>
    <row r="7" spans="1:25" x14ac:dyDescent="0.25">
      <c r="A7" s="2">
        <v>1740</v>
      </c>
      <c r="B7" s="7"/>
      <c r="C7" s="7"/>
      <c r="D7" s="7"/>
      <c r="E7" s="7"/>
      <c r="F7" s="7"/>
      <c r="G7" s="7">
        <v>9.99</v>
      </c>
      <c r="H7" s="7">
        <v>4.99</v>
      </c>
      <c r="I7" s="7">
        <v>14.99</v>
      </c>
      <c r="J7" s="7">
        <v>13.99</v>
      </c>
      <c r="K7" s="7">
        <v>6.99</v>
      </c>
      <c r="L7" s="7">
        <v>20.99</v>
      </c>
      <c r="M7" s="7">
        <v>17.989999999999998</v>
      </c>
      <c r="N7" s="7"/>
      <c r="O7" s="7">
        <v>25.98</v>
      </c>
      <c r="P7" s="7">
        <v>9.99</v>
      </c>
      <c r="Q7" s="7">
        <v>10</v>
      </c>
      <c r="R7" s="7">
        <v>12.99</v>
      </c>
      <c r="S7" s="7">
        <v>13.99</v>
      </c>
      <c r="T7" s="7"/>
      <c r="U7" s="7">
        <v>14.99</v>
      </c>
      <c r="V7" s="7">
        <v>15.99</v>
      </c>
      <c r="W7" s="7">
        <v>15.99</v>
      </c>
      <c r="X7" s="7">
        <v>18.989999999999998</v>
      </c>
      <c r="Y7" s="7">
        <v>29.99</v>
      </c>
    </row>
    <row r="8" spans="1:25" x14ac:dyDescent="0.25">
      <c r="A8" s="2">
        <v>1743</v>
      </c>
      <c r="B8" s="7"/>
      <c r="C8" s="7"/>
      <c r="D8" s="7"/>
      <c r="E8" s="7"/>
      <c r="F8" s="7"/>
      <c r="G8" s="7">
        <v>9.99</v>
      </c>
      <c r="H8" s="7">
        <v>4.99</v>
      </c>
      <c r="I8" s="7">
        <v>14.99</v>
      </c>
      <c r="J8" s="7">
        <v>13.99</v>
      </c>
      <c r="K8" s="7">
        <v>6.99</v>
      </c>
      <c r="L8" s="7">
        <v>20.99</v>
      </c>
      <c r="M8" s="7">
        <v>17.989999999999998</v>
      </c>
      <c r="N8" s="7"/>
      <c r="O8" s="7">
        <v>25.98</v>
      </c>
      <c r="P8" s="7">
        <v>9.99</v>
      </c>
      <c r="Q8" s="7">
        <v>10</v>
      </c>
      <c r="R8" s="7">
        <v>12.99</v>
      </c>
      <c r="S8" s="7">
        <v>13.99</v>
      </c>
      <c r="T8" s="7"/>
      <c r="U8" s="7">
        <v>14.99</v>
      </c>
      <c r="V8" s="7">
        <v>15.99</v>
      </c>
      <c r="W8" s="7">
        <v>15.99</v>
      </c>
      <c r="X8" s="7">
        <v>18.989999999999998</v>
      </c>
      <c r="Y8" s="7">
        <v>29.99</v>
      </c>
    </row>
    <row r="9" spans="1:25" x14ac:dyDescent="0.25">
      <c r="A9" s="2">
        <v>2172</v>
      </c>
      <c r="B9" s="7"/>
      <c r="C9" s="7"/>
      <c r="D9" s="7"/>
      <c r="E9" s="7"/>
      <c r="F9" s="7"/>
      <c r="G9" s="7">
        <v>9.99</v>
      </c>
      <c r="H9" s="7">
        <v>4.99</v>
      </c>
      <c r="I9" s="7">
        <v>14.99</v>
      </c>
      <c r="J9" s="7">
        <v>13.99</v>
      </c>
      <c r="K9" s="7">
        <v>6.99</v>
      </c>
      <c r="L9" s="7">
        <v>20.99</v>
      </c>
      <c r="M9" s="7">
        <v>17.989999999999998</v>
      </c>
      <c r="N9" s="7"/>
      <c r="O9" s="7">
        <v>25.98</v>
      </c>
      <c r="P9" s="7">
        <v>9.99</v>
      </c>
      <c r="Q9" s="7">
        <v>10</v>
      </c>
      <c r="R9" s="7">
        <v>12.99</v>
      </c>
      <c r="S9" s="7">
        <v>13.99</v>
      </c>
      <c r="T9" s="7"/>
      <c r="U9" s="7">
        <v>14.99</v>
      </c>
      <c r="V9" s="7">
        <v>15.99</v>
      </c>
      <c r="W9" s="7">
        <v>15.99</v>
      </c>
      <c r="X9" s="7">
        <v>18.989999999999998</v>
      </c>
      <c r="Y9" s="7">
        <v>29.99</v>
      </c>
    </row>
    <row r="10" spans="1:25" x14ac:dyDescent="0.25">
      <c r="A10" s="2">
        <v>2174</v>
      </c>
      <c r="B10" s="7"/>
      <c r="C10" s="7"/>
      <c r="D10" s="7"/>
      <c r="E10" s="7"/>
      <c r="F10" s="7"/>
      <c r="G10" s="7">
        <v>9.99</v>
      </c>
      <c r="H10" s="7">
        <v>4.99</v>
      </c>
      <c r="I10" s="7">
        <v>14.99</v>
      </c>
      <c r="J10" s="7">
        <v>13.99</v>
      </c>
      <c r="K10" s="7">
        <v>6.99</v>
      </c>
      <c r="L10" s="7">
        <v>20.99</v>
      </c>
      <c r="M10" s="7">
        <v>17.989999999999998</v>
      </c>
      <c r="N10" s="7"/>
      <c r="O10" s="7">
        <v>25.98</v>
      </c>
      <c r="P10" s="7">
        <v>9.99</v>
      </c>
      <c r="Q10" s="7">
        <v>10</v>
      </c>
      <c r="R10" s="7">
        <v>12.99</v>
      </c>
      <c r="S10" s="7">
        <v>13.99</v>
      </c>
      <c r="T10" s="7"/>
      <c r="U10" s="7">
        <v>14.99</v>
      </c>
      <c r="V10" s="7">
        <v>15.99</v>
      </c>
      <c r="W10" s="7">
        <v>15.99</v>
      </c>
      <c r="X10" s="7">
        <v>18.989999999999998</v>
      </c>
      <c r="Y10" s="7">
        <v>29.99</v>
      </c>
    </row>
    <row r="11" spans="1:25" x14ac:dyDescent="0.25">
      <c r="A11" s="2">
        <v>2208</v>
      </c>
      <c r="B11" s="7"/>
      <c r="C11" s="7"/>
      <c r="D11" s="7"/>
      <c r="E11" s="7"/>
      <c r="F11" s="7"/>
      <c r="G11" s="7"/>
      <c r="H11" s="7">
        <v>4.99</v>
      </c>
      <c r="I11" s="7"/>
      <c r="J11" s="7"/>
      <c r="K11" s="7">
        <v>6.99</v>
      </c>
      <c r="L11" s="7"/>
      <c r="M11" s="7"/>
      <c r="N11" s="7">
        <v>15.99</v>
      </c>
      <c r="O11" s="7"/>
      <c r="P11" s="7">
        <v>9.99</v>
      </c>
      <c r="Q11" s="7">
        <v>10</v>
      </c>
      <c r="R11" s="7">
        <v>12.99</v>
      </c>
      <c r="S11" s="7">
        <v>13.99</v>
      </c>
      <c r="T11" s="7">
        <v>25.99</v>
      </c>
      <c r="U11" s="7">
        <v>14.99</v>
      </c>
      <c r="V11" s="7">
        <v>15.99</v>
      </c>
      <c r="W11" s="7">
        <v>15.99</v>
      </c>
      <c r="X11" s="7">
        <v>18.989999999999998</v>
      </c>
      <c r="Y11" s="7">
        <v>29.99</v>
      </c>
    </row>
    <row r="12" spans="1:25" x14ac:dyDescent="0.25">
      <c r="A12" s="2">
        <v>2236</v>
      </c>
      <c r="B12" s="7"/>
      <c r="C12" s="7"/>
      <c r="D12" s="7">
        <v>14.99</v>
      </c>
      <c r="E12" s="7">
        <v>20.99</v>
      </c>
      <c r="F12" s="7">
        <v>25.98</v>
      </c>
      <c r="G12" s="7">
        <v>9.99</v>
      </c>
      <c r="H12" s="7">
        <v>4.99</v>
      </c>
      <c r="I12" s="7"/>
      <c r="J12" s="7">
        <v>13.99</v>
      </c>
      <c r="K12" s="7">
        <v>6.99</v>
      </c>
      <c r="L12" s="7"/>
      <c r="M12" s="7">
        <v>17.989999999999998</v>
      </c>
      <c r="N12" s="7"/>
      <c r="O12" s="7"/>
      <c r="P12" s="7">
        <v>9.99</v>
      </c>
      <c r="Q12" s="7">
        <v>10</v>
      </c>
      <c r="R12" s="7">
        <v>12.99</v>
      </c>
      <c r="S12" s="7">
        <v>13.99</v>
      </c>
      <c r="T12" s="7"/>
      <c r="U12" s="7">
        <v>14.99</v>
      </c>
      <c r="V12" s="7">
        <v>15.99</v>
      </c>
      <c r="W12" s="7">
        <v>15.99</v>
      </c>
      <c r="X12" s="7">
        <v>18.989999999999998</v>
      </c>
      <c r="Y12" s="7">
        <v>29.99</v>
      </c>
    </row>
    <row r="13" spans="1:25" x14ac:dyDescent="0.25">
      <c r="A13" s="2">
        <v>2272</v>
      </c>
      <c r="B13" s="7"/>
      <c r="C13" s="7"/>
      <c r="D13" s="7"/>
      <c r="E13" s="7"/>
      <c r="F13" s="7"/>
      <c r="G13" s="7">
        <v>9.99</v>
      </c>
      <c r="H13" s="7">
        <v>4.99</v>
      </c>
      <c r="I13" s="7">
        <v>14.99</v>
      </c>
      <c r="J13" s="7">
        <v>13.99</v>
      </c>
      <c r="K13" s="7">
        <v>6.99</v>
      </c>
      <c r="L13" s="7">
        <v>20.99</v>
      </c>
      <c r="M13" s="7">
        <v>17.989999999999998</v>
      </c>
      <c r="N13" s="7"/>
      <c r="O13" s="7">
        <v>25.98</v>
      </c>
      <c r="P13" s="7">
        <v>9.99</v>
      </c>
      <c r="Q13" s="7">
        <v>10</v>
      </c>
      <c r="R13" s="7">
        <v>12.99</v>
      </c>
      <c r="S13" s="7">
        <v>13.99</v>
      </c>
      <c r="T13" s="7"/>
      <c r="U13" s="7">
        <v>14.99</v>
      </c>
      <c r="V13" s="7">
        <v>15.99</v>
      </c>
      <c r="W13" s="7">
        <v>15.99</v>
      </c>
      <c r="X13" s="7">
        <v>18.989999999999998</v>
      </c>
      <c r="Y13" s="7">
        <v>29.99</v>
      </c>
    </row>
    <row r="14" spans="1:25" x14ac:dyDescent="0.25">
      <c r="A14" s="2">
        <v>2306</v>
      </c>
      <c r="B14" s="7"/>
      <c r="C14" s="7"/>
      <c r="D14" s="7"/>
      <c r="E14" s="7"/>
      <c r="F14" s="7"/>
      <c r="G14" s="7"/>
      <c r="H14" s="7">
        <v>4.99</v>
      </c>
      <c r="I14" s="7"/>
      <c r="J14" s="7"/>
      <c r="K14" s="7">
        <v>6.99</v>
      </c>
      <c r="L14" s="7"/>
      <c r="M14" s="7"/>
      <c r="N14" s="7">
        <v>15.99</v>
      </c>
      <c r="O14" s="7"/>
      <c r="P14" s="7">
        <v>9.99</v>
      </c>
      <c r="Q14" s="7">
        <v>10</v>
      </c>
      <c r="R14" s="7">
        <v>12.99</v>
      </c>
      <c r="S14" s="7">
        <v>13.99</v>
      </c>
      <c r="T14" s="7">
        <v>25.99</v>
      </c>
      <c r="U14" s="7">
        <v>14.99</v>
      </c>
      <c r="V14" s="7">
        <v>15.99</v>
      </c>
      <c r="W14" s="7">
        <v>15.99</v>
      </c>
      <c r="X14" s="7">
        <v>18.989999999999998</v>
      </c>
      <c r="Y14" s="7">
        <v>29.99</v>
      </c>
    </row>
    <row r="15" spans="1:25" x14ac:dyDescent="0.25">
      <c r="A15" s="2">
        <v>2325</v>
      </c>
      <c r="B15" s="7"/>
      <c r="C15" s="7"/>
      <c r="D15" s="7"/>
      <c r="E15" s="7"/>
      <c r="F15" s="7"/>
      <c r="G15" s="7"/>
      <c r="H15" s="7">
        <v>4.99</v>
      </c>
      <c r="I15" s="7"/>
      <c r="J15" s="7"/>
      <c r="K15" s="7">
        <v>6.99</v>
      </c>
      <c r="L15" s="7"/>
      <c r="M15" s="7"/>
      <c r="N15" s="7">
        <v>15.99</v>
      </c>
      <c r="O15" s="7"/>
      <c r="P15" s="7">
        <v>9.99</v>
      </c>
      <c r="Q15" s="7">
        <v>10</v>
      </c>
      <c r="R15" s="7">
        <v>12.99</v>
      </c>
      <c r="S15" s="7">
        <v>13.99</v>
      </c>
      <c r="T15" s="7">
        <v>25.99</v>
      </c>
      <c r="U15" s="7">
        <v>14.99</v>
      </c>
      <c r="V15" s="7">
        <v>15.99</v>
      </c>
      <c r="W15" s="7">
        <v>15.99</v>
      </c>
      <c r="X15" s="7">
        <v>18.989999999999998</v>
      </c>
      <c r="Y15" s="7">
        <v>29.99</v>
      </c>
    </row>
    <row r="16" spans="1:25" x14ac:dyDescent="0.25">
      <c r="A16" s="2">
        <v>2457</v>
      </c>
      <c r="B16" s="7"/>
      <c r="C16" s="7"/>
      <c r="D16" s="7"/>
      <c r="E16" s="7"/>
      <c r="F16" s="7"/>
      <c r="G16" s="7">
        <v>9.99</v>
      </c>
      <c r="H16" s="7">
        <v>4.99</v>
      </c>
      <c r="I16" s="7">
        <v>14.99</v>
      </c>
      <c r="J16" s="7">
        <v>13.99</v>
      </c>
      <c r="K16" s="7">
        <v>6.99</v>
      </c>
      <c r="L16" s="7">
        <v>20.99</v>
      </c>
      <c r="M16" s="7">
        <v>17.989999999999998</v>
      </c>
      <c r="N16" s="7"/>
      <c r="O16" s="7">
        <v>25.98</v>
      </c>
      <c r="P16" s="7">
        <v>9.99</v>
      </c>
      <c r="Q16" s="7">
        <v>10</v>
      </c>
      <c r="R16" s="7">
        <v>12.99</v>
      </c>
      <c r="S16" s="7">
        <v>13.99</v>
      </c>
      <c r="T16" s="7"/>
      <c r="U16" s="7">
        <v>14.99</v>
      </c>
      <c r="V16" s="7">
        <v>15.99</v>
      </c>
      <c r="W16" s="7">
        <v>15.99</v>
      </c>
      <c r="X16" s="7">
        <v>18.989999999999998</v>
      </c>
      <c r="Y16" s="7">
        <v>29.99</v>
      </c>
    </row>
    <row r="17" spans="1:25" x14ac:dyDescent="0.25">
      <c r="A17" s="2">
        <v>2478</v>
      </c>
      <c r="B17" s="7"/>
      <c r="C17" s="7"/>
      <c r="D17" s="7"/>
      <c r="E17" s="7"/>
      <c r="F17" s="7"/>
      <c r="G17" s="7"/>
      <c r="H17" s="7">
        <v>4.99</v>
      </c>
      <c r="I17" s="7"/>
      <c r="J17" s="7"/>
      <c r="K17" s="7">
        <v>6.99</v>
      </c>
      <c r="L17" s="7"/>
      <c r="M17" s="7"/>
      <c r="N17" s="7">
        <v>15.99</v>
      </c>
      <c r="O17" s="7"/>
      <c r="P17" s="7">
        <v>9.99</v>
      </c>
      <c r="Q17" s="7">
        <v>10</v>
      </c>
      <c r="R17" s="7">
        <v>12.99</v>
      </c>
      <c r="S17" s="7">
        <v>13.99</v>
      </c>
      <c r="T17" s="7">
        <v>25.99</v>
      </c>
      <c r="U17" s="7">
        <v>14.99</v>
      </c>
      <c r="V17" s="7">
        <v>15.99</v>
      </c>
      <c r="W17" s="7">
        <v>15.99</v>
      </c>
      <c r="X17" s="7">
        <v>18.989999999999998</v>
      </c>
      <c r="Y17" s="7">
        <v>29.99</v>
      </c>
    </row>
    <row r="18" spans="1:25" x14ac:dyDescent="0.25">
      <c r="A18" s="2">
        <v>2549</v>
      </c>
      <c r="B18" s="7"/>
      <c r="C18" s="7"/>
      <c r="D18" s="7"/>
      <c r="E18" s="7"/>
      <c r="F18" s="7"/>
      <c r="G18" s="7">
        <v>9.99</v>
      </c>
      <c r="H18" s="7">
        <v>4.99</v>
      </c>
      <c r="I18" s="7">
        <v>14.99</v>
      </c>
      <c r="J18" s="7">
        <v>13.99</v>
      </c>
      <c r="K18" s="7">
        <v>6.99</v>
      </c>
      <c r="L18" s="7">
        <v>20.99</v>
      </c>
      <c r="M18" s="7">
        <v>17.989999999999998</v>
      </c>
      <c r="N18" s="7"/>
      <c r="O18" s="7">
        <v>25.98</v>
      </c>
      <c r="P18" s="7">
        <v>9.99</v>
      </c>
      <c r="Q18" s="7">
        <v>10</v>
      </c>
      <c r="R18" s="7">
        <v>12.99</v>
      </c>
      <c r="S18" s="7">
        <v>13.99</v>
      </c>
      <c r="T18" s="7"/>
      <c r="U18" s="7">
        <v>14.99</v>
      </c>
      <c r="V18" s="7">
        <v>15.99</v>
      </c>
      <c r="W18" s="7">
        <v>15.99</v>
      </c>
      <c r="X18" s="7">
        <v>18.989999999999998</v>
      </c>
      <c r="Y18" s="7">
        <v>29.99</v>
      </c>
    </row>
    <row r="19" spans="1:25" x14ac:dyDescent="0.25">
      <c r="A19" s="2">
        <v>2603</v>
      </c>
      <c r="B19" s="7"/>
      <c r="C19" s="7"/>
      <c r="D19" s="7"/>
      <c r="E19" s="7"/>
      <c r="F19" s="7"/>
      <c r="G19" s="7">
        <v>9.99</v>
      </c>
      <c r="H19" s="7">
        <v>4.99</v>
      </c>
      <c r="I19" s="7">
        <v>14.99</v>
      </c>
      <c r="J19" s="7">
        <v>13.99</v>
      </c>
      <c r="K19" s="7">
        <v>6.99</v>
      </c>
      <c r="L19" s="7">
        <v>20.99</v>
      </c>
      <c r="M19" s="7">
        <v>17.989999999999998</v>
      </c>
      <c r="N19" s="7"/>
      <c r="O19" s="7">
        <v>25.98</v>
      </c>
      <c r="P19" s="7">
        <v>9.99</v>
      </c>
      <c r="Q19" s="7">
        <v>10</v>
      </c>
      <c r="R19" s="7">
        <v>12.99</v>
      </c>
      <c r="S19" s="7">
        <v>13.99</v>
      </c>
      <c r="T19" s="7"/>
      <c r="U19" s="7">
        <v>14.99</v>
      </c>
      <c r="V19" s="7">
        <v>15.99</v>
      </c>
      <c r="W19" s="7">
        <v>15.99</v>
      </c>
      <c r="X19" s="7">
        <v>18.989999999999998</v>
      </c>
      <c r="Y19" s="7">
        <v>29.99</v>
      </c>
    </row>
    <row r="20" spans="1:25" x14ac:dyDescent="0.25">
      <c r="A20" s="2">
        <v>2612</v>
      </c>
      <c r="B20" s="7"/>
      <c r="C20" s="7"/>
      <c r="D20" s="7"/>
      <c r="E20" s="7"/>
      <c r="F20" s="7"/>
      <c r="G20" s="7"/>
      <c r="H20" s="7">
        <v>4.99</v>
      </c>
      <c r="I20" s="7"/>
      <c r="J20" s="7"/>
      <c r="K20" s="7">
        <v>6.99</v>
      </c>
      <c r="L20" s="7"/>
      <c r="M20" s="7"/>
      <c r="N20" s="7">
        <v>15.99</v>
      </c>
      <c r="O20" s="7"/>
      <c r="P20" s="7">
        <v>9.99</v>
      </c>
      <c r="Q20" s="7">
        <v>10</v>
      </c>
      <c r="R20" s="7">
        <v>12.99</v>
      </c>
      <c r="S20" s="7">
        <v>13.99</v>
      </c>
      <c r="T20" s="7">
        <v>25.99</v>
      </c>
      <c r="U20" s="7">
        <v>14.99</v>
      </c>
      <c r="V20" s="7">
        <v>15.99</v>
      </c>
      <c r="W20" s="7">
        <v>15.99</v>
      </c>
      <c r="X20" s="7">
        <v>18.989999999999998</v>
      </c>
      <c r="Y20" s="7">
        <v>29.99</v>
      </c>
    </row>
    <row r="21" spans="1:25" x14ac:dyDescent="0.25">
      <c r="A21" s="2">
        <v>2618</v>
      </c>
      <c r="B21" s="7"/>
      <c r="C21" s="7"/>
      <c r="D21" s="7"/>
      <c r="E21" s="7"/>
      <c r="F21" s="7"/>
      <c r="G21" s="7"/>
      <c r="H21" s="7">
        <v>4.99</v>
      </c>
      <c r="I21" s="7"/>
      <c r="J21" s="7"/>
      <c r="K21" s="7">
        <v>6.99</v>
      </c>
      <c r="L21" s="7"/>
      <c r="M21" s="7"/>
      <c r="N21" s="7">
        <v>15.99</v>
      </c>
      <c r="O21" s="7"/>
      <c r="P21" s="7">
        <v>9.99</v>
      </c>
      <c r="Q21" s="7">
        <v>10</v>
      </c>
      <c r="R21" s="7">
        <v>12.99</v>
      </c>
      <c r="S21" s="7">
        <v>13.99</v>
      </c>
      <c r="T21" s="7">
        <v>25.99</v>
      </c>
      <c r="U21" s="7">
        <v>14.99</v>
      </c>
      <c r="V21" s="7">
        <v>15.99</v>
      </c>
      <c r="W21" s="7">
        <v>15.99</v>
      </c>
      <c r="X21" s="7">
        <v>18.989999999999998</v>
      </c>
      <c r="Y21" s="7">
        <v>29.99</v>
      </c>
    </row>
    <row r="22" spans="1:25" x14ac:dyDescent="0.25">
      <c r="A22" s="2">
        <v>2687</v>
      </c>
      <c r="B22" s="7"/>
      <c r="C22" s="7"/>
      <c r="D22" s="7"/>
      <c r="E22" s="7"/>
      <c r="F22" s="7"/>
      <c r="G22" s="7"/>
      <c r="H22" s="7">
        <v>4.99</v>
      </c>
      <c r="I22" s="7"/>
      <c r="J22" s="7"/>
      <c r="K22" s="7">
        <v>6.99</v>
      </c>
      <c r="L22" s="7"/>
      <c r="M22" s="7"/>
      <c r="N22" s="7">
        <v>15.99</v>
      </c>
      <c r="O22" s="7"/>
      <c r="P22" s="7">
        <v>9.99</v>
      </c>
      <c r="Q22" s="7">
        <v>10</v>
      </c>
      <c r="R22" s="7">
        <v>12.99</v>
      </c>
      <c r="S22" s="7">
        <v>13.99</v>
      </c>
      <c r="T22" s="7">
        <v>25.99</v>
      </c>
      <c r="U22" s="7">
        <v>14.99</v>
      </c>
      <c r="V22" s="7">
        <v>15.99</v>
      </c>
      <c r="W22" s="7">
        <v>15.99</v>
      </c>
      <c r="X22" s="7">
        <v>18.989999999999998</v>
      </c>
      <c r="Y22" s="7">
        <v>29.99</v>
      </c>
    </row>
    <row r="23" spans="1:25" x14ac:dyDescent="0.25">
      <c r="A23" s="2">
        <v>2921</v>
      </c>
      <c r="B23" s="7"/>
      <c r="C23" s="7"/>
      <c r="D23" s="7"/>
      <c r="E23" s="7"/>
      <c r="F23" s="7"/>
      <c r="G23" s="7"/>
      <c r="H23" s="7">
        <v>4.99</v>
      </c>
      <c r="I23" s="7"/>
      <c r="J23" s="7"/>
      <c r="K23" s="7">
        <v>6.99</v>
      </c>
      <c r="L23" s="7"/>
      <c r="M23" s="7"/>
      <c r="N23" s="7">
        <v>15.99</v>
      </c>
      <c r="O23" s="7"/>
      <c r="P23" s="7">
        <v>9.99</v>
      </c>
      <c r="Q23" s="7">
        <v>10</v>
      </c>
      <c r="R23" s="7">
        <v>12.99</v>
      </c>
      <c r="S23" s="7">
        <v>13.99</v>
      </c>
      <c r="T23" s="7">
        <v>25.99</v>
      </c>
      <c r="U23" s="7">
        <v>14.99</v>
      </c>
      <c r="V23" s="7">
        <v>15.99</v>
      </c>
      <c r="W23" s="7">
        <v>15.99</v>
      </c>
      <c r="X23" s="7">
        <v>18.989999999999998</v>
      </c>
      <c r="Y23" s="7">
        <v>29.99</v>
      </c>
    </row>
    <row r="24" spans="1:25" x14ac:dyDescent="0.25">
      <c r="A24" s="2">
        <v>2953</v>
      </c>
      <c r="B24" s="7"/>
      <c r="C24" s="7"/>
      <c r="D24" s="7">
        <v>14.99</v>
      </c>
      <c r="E24" s="7">
        <v>20.99</v>
      </c>
      <c r="F24" s="7">
        <v>25.98</v>
      </c>
      <c r="G24" s="7">
        <v>9.99</v>
      </c>
      <c r="H24" s="7">
        <v>4.99</v>
      </c>
      <c r="I24" s="7"/>
      <c r="J24" s="7">
        <v>13.99</v>
      </c>
      <c r="K24" s="7">
        <v>6.99</v>
      </c>
      <c r="L24" s="7"/>
      <c r="M24" s="7">
        <v>17.989999999999998</v>
      </c>
      <c r="N24" s="7"/>
      <c r="O24" s="7"/>
      <c r="P24" s="7">
        <v>9.99</v>
      </c>
      <c r="Q24" s="7">
        <v>10</v>
      </c>
      <c r="R24" s="7">
        <v>12.99</v>
      </c>
      <c r="S24" s="7">
        <v>13.99</v>
      </c>
      <c r="T24" s="7"/>
      <c r="U24" s="7">
        <v>14.99</v>
      </c>
      <c r="V24" s="7">
        <v>15.99</v>
      </c>
      <c r="W24" s="7">
        <v>15.99</v>
      </c>
      <c r="X24" s="7">
        <v>18.989999999999998</v>
      </c>
      <c r="Y24" s="7">
        <v>29.99</v>
      </c>
    </row>
    <row r="25" spans="1:25" x14ac:dyDescent="0.25">
      <c r="A25" s="2">
        <v>3015</v>
      </c>
      <c r="B25" s="7"/>
      <c r="C25" s="7"/>
      <c r="D25" s="7"/>
      <c r="E25" s="7"/>
      <c r="F25" s="7"/>
      <c r="G25" s="7"/>
      <c r="H25" s="7">
        <v>4.99</v>
      </c>
      <c r="I25" s="7"/>
      <c r="J25" s="7"/>
      <c r="K25" s="7">
        <v>6.99</v>
      </c>
      <c r="L25" s="7"/>
      <c r="M25" s="7"/>
      <c r="N25" s="7">
        <v>15.99</v>
      </c>
      <c r="O25" s="7"/>
      <c r="P25" s="7">
        <v>9.99</v>
      </c>
      <c r="Q25" s="7">
        <v>10</v>
      </c>
      <c r="R25" s="7">
        <v>12.99</v>
      </c>
      <c r="S25" s="7">
        <v>13.99</v>
      </c>
      <c r="T25" s="7">
        <v>25.99</v>
      </c>
      <c r="U25" s="7">
        <v>14.99</v>
      </c>
      <c r="V25" s="7">
        <v>15.99</v>
      </c>
      <c r="W25" s="7">
        <v>15.99</v>
      </c>
      <c r="X25" s="7">
        <v>18.989999999999998</v>
      </c>
      <c r="Y25" s="7">
        <v>29.99</v>
      </c>
    </row>
    <row r="26" spans="1:25" x14ac:dyDescent="0.25">
      <c r="A26" s="2">
        <v>3130</v>
      </c>
      <c r="B26" s="7"/>
      <c r="C26" s="7"/>
      <c r="D26" s="7"/>
      <c r="E26" s="7"/>
      <c r="F26" s="7"/>
      <c r="G26" s="7"/>
      <c r="H26" s="7">
        <v>4.99</v>
      </c>
      <c r="I26" s="7"/>
      <c r="J26" s="7"/>
      <c r="K26" s="7">
        <v>6.99</v>
      </c>
      <c r="L26" s="7"/>
      <c r="M26" s="7"/>
      <c r="N26" s="7">
        <v>15.99</v>
      </c>
      <c r="O26" s="7"/>
      <c r="P26" s="7">
        <v>9.99</v>
      </c>
      <c r="Q26" s="7">
        <v>10</v>
      </c>
      <c r="R26" s="7">
        <v>12.99</v>
      </c>
      <c r="S26" s="7">
        <v>13.99</v>
      </c>
      <c r="T26" s="7">
        <v>25.99</v>
      </c>
      <c r="U26" s="7">
        <v>14.99</v>
      </c>
      <c r="V26" s="7">
        <v>15.99</v>
      </c>
      <c r="W26" s="7">
        <v>15.99</v>
      </c>
      <c r="X26" s="7">
        <v>18.989999999999998</v>
      </c>
      <c r="Y26" s="7">
        <v>29.99</v>
      </c>
    </row>
    <row r="27" spans="1:25" x14ac:dyDescent="0.25">
      <c r="A27" s="2">
        <v>3479</v>
      </c>
      <c r="B27" s="7"/>
      <c r="C27" s="7"/>
      <c r="D27" s="7"/>
      <c r="E27" s="7"/>
      <c r="F27" s="7"/>
      <c r="G27" s="7"/>
      <c r="H27" s="7">
        <v>4.99</v>
      </c>
      <c r="I27" s="7"/>
      <c r="J27" s="7"/>
      <c r="K27" s="7">
        <v>6.99</v>
      </c>
      <c r="L27" s="7"/>
      <c r="M27" s="7"/>
      <c r="N27" s="7">
        <v>15.99</v>
      </c>
      <c r="O27" s="7"/>
      <c r="P27" s="7">
        <v>9.99</v>
      </c>
      <c r="Q27" s="7">
        <v>10</v>
      </c>
      <c r="R27" s="7">
        <v>12.99</v>
      </c>
      <c r="S27" s="7">
        <v>13.99</v>
      </c>
      <c r="T27" s="7">
        <v>25.99</v>
      </c>
      <c r="U27" s="7">
        <v>14.99</v>
      </c>
      <c r="V27" s="7">
        <v>15.99</v>
      </c>
      <c r="W27" s="7">
        <v>15.99</v>
      </c>
      <c r="X27" s="7">
        <v>18.989999999999998</v>
      </c>
      <c r="Y27" s="7">
        <v>29.99</v>
      </c>
    </row>
    <row r="28" spans="1:25" x14ac:dyDescent="0.25">
      <c r="A28" s="2">
        <v>3498</v>
      </c>
      <c r="B28" s="7"/>
      <c r="C28" s="7"/>
      <c r="D28" s="7">
        <v>14.99</v>
      </c>
      <c r="E28" s="7">
        <v>20.99</v>
      </c>
      <c r="F28" s="7">
        <v>25.98</v>
      </c>
      <c r="G28" s="7">
        <v>9.99</v>
      </c>
      <c r="H28" s="7">
        <v>4.99</v>
      </c>
      <c r="I28" s="7"/>
      <c r="J28" s="7">
        <v>13.99</v>
      </c>
      <c r="K28" s="7">
        <v>6.99</v>
      </c>
      <c r="L28" s="7"/>
      <c r="M28" s="7">
        <v>17.989999999999998</v>
      </c>
      <c r="N28" s="7"/>
      <c r="O28" s="7"/>
      <c r="P28" s="7">
        <v>9.99</v>
      </c>
      <c r="Q28" s="7">
        <v>10</v>
      </c>
      <c r="R28" s="7">
        <v>12.99</v>
      </c>
      <c r="S28" s="7">
        <v>13.99</v>
      </c>
      <c r="T28" s="7"/>
      <c r="U28" s="7">
        <v>14.99</v>
      </c>
      <c r="V28" s="7">
        <v>15.99</v>
      </c>
      <c r="W28" s="7">
        <v>15.99</v>
      </c>
      <c r="X28" s="7">
        <v>18.989999999999998</v>
      </c>
      <c r="Y28" s="7">
        <v>29.99</v>
      </c>
    </row>
    <row r="29" spans="1:25" x14ac:dyDescent="0.25">
      <c r="A29" s="2">
        <v>4405</v>
      </c>
      <c r="B29" s="7"/>
      <c r="C29" s="7"/>
      <c r="D29" s="7"/>
      <c r="E29" s="7"/>
      <c r="F29" s="7"/>
      <c r="G29" s="7"/>
      <c r="H29" s="7">
        <v>4.99</v>
      </c>
      <c r="I29" s="7"/>
      <c r="J29" s="7"/>
      <c r="K29" s="7">
        <v>6.99</v>
      </c>
      <c r="L29" s="7"/>
      <c r="M29" s="7"/>
      <c r="N29" s="7">
        <v>15.99</v>
      </c>
      <c r="O29" s="7"/>
      <c r="P29" s="7">
        <v>9.99</v>
      </c>
      <c r="Q29" s="7">
        <v>10</v>
      </c>
      <c r="R29" s="7">
        <v>12.99</v>
      </c>
      <c r="S29" s="7">
        <v>13.99</v>
      </c>
      <c r="T29" s="7">
        <v>25.99</v>
      </c>
      <c r="U29" s="7">
        <v>14.99</v>
      </c>
      <c r="V29" s="7">
        <v>15.99</v>
      </c>
      <c r="W29" s="7">
        <v>15.99</v>
      </c>
      <c r="X29" s="7">
        <v>18.989999999999998</v>
      </c>
      <c r="Y29" s="7">
        <v>29.99</v>
      </c>
    </row>
    <row r="30" spans="1:25" x14ac:dyDescent="0.25">
      <c r="A30" s="2">
        <v>4778</v>
      </c>
      <c r="B30" s="7"/>
      <c r="C30" s="7"/>
      <c r="D30" s="7"/>
      <c r="E30" s="7"/>
      <c r="F30" s="7"/>
      <c r="G30" s="7">
        <v>9.99</v>
      </c>
      <c r="H30" s="7">
        <v>4.99</v>
      </c>
      <c r="I30" s="7">
        <v>14.99</v>
      </c>
      <c r="J30" s="7">
        <v>13.99</v>
      </c>
      <c r="K30" s="7">
        <v>6.99</v>
      </c>
      <c r="L30" s="7">
        <v>20.99</v>
      </c>
      <c r="M30" s="7">
        <v>17.989999999999998</v>
      </c>
      <c r="N30" s="7"/>
      <c r="O30" s="7">
        <v>25.98</v>
      </c>
      <c r="P30" s="7">
        <v>9.99</v>
      </c>
      <c r="Q30" s="7">
        <v>10</v>
      </c>
      <c r="R30" s="7">
        <v>12.99</v>
      </c>
      <c r="S30" s="7">
        <v>13.99</v>
      </c>
      <c r="T30" s="7"/>
      <c r="U30" s="7">
        <v>14.99</v>
      </c>
      <c r="V30" s="7">
        <v>15.99</v>
      </c>
      <c r="W30" s="7">
        <v>15.99</v>
      </c>
      <c r="X30" s="7">
        <v>18.989999999999998</v>
      </c>
      <c r="Y30" s="7">
        <v>29.99</v>
      </c>
    </row>
    <row r="31" spans="1:25" x14ac:dyDescent="0.25">
      <c r="A31" s="2">
        <v>5293</v>
      </c>
      <c r="B31" s="7"/>
      <c r="C31" s="7"/>
      <c r="D31" s="7"/>
      <c r="E31" s="7"/>
      <c r="F31" s="7"/>
      <c r="G31" s="7"/>
      <c r="H31" s="7">
        <v>4.99</v>
      </c>
      <c r="I31" s="7"/>
      <c r="J31" s="7"/>
      <c r="K31" s="7">
        <v>6.99</v>
      </c>
      <c r="L31" s="7"/>
      <c r="M31" s="7"/>
      <c r="N31" s="7">
        <v>15.99</v>
      </c>
      <c r="O31" s="7"/>
      <c r="P31" s="7">
        <v>9.99</v>
      </c>
      <c r="Q31" s="7">
        <v>10</v>
      </c>
      <c r="R31" s="7">
        <v>12.99</v>
      </c>
      <c r="S31" s="7">
        <v>13.99</v>
      </c>
      <c r="T31" s="7">
        <v>25.99</v>
      </c>
      <c r="U31" s="7">
        <v>14.99</v>
      </c>
      <c r="V31" s="7">
        <v>15.99</v>
      </c>
      <c r="W31" s="7">
        <v>15.99</v>
      </c>
      <c r="X31" s="7">
        <v>18.989999999999998</v>
      </c>
      <c r="Y31" s="7">
        <v>29.99</v>
      </c>
    </row>
    <row r="32" spans="1:25" x14ac:dyDescent="0.25">
      <c r="A32" s="2">
        <v>5296</v>
      </c>
      <c r="B32" s="7"/>
      <c r="C32" s="7"/>
      <c r="D32" s="7"/>
      <c r="E32" s="7"/>
      <c r="F32" s="7"/>
      <c r="G32" s="7"/>
      <c r="H32" s="7">
        <v>4.99</v>
      </c>
      <c r="I32" s="7"/>
      <c r="J32" s="7"/>
      <c r="K32" s="7">
        <v>6.99</v>
      </c>
      <c r="L32" s="7"/>
      <c r="M32" s="7"/>
      <c r="N32" s="7">
        <v>15.99</v>
      </c>
      <c r="O32" s="7"/>
      <c r="P32" s="7">
        <v>9.99</v>
      </c>
      <c r="Q32" s="7">
        <v>10</v>
      </c>
      <c r="R32" s="7">
        <v>12.99</v>
      </c>
      <c r="S32" s="7">
        <v>13.99</v>
      </c>
      <c r="T32" s="7">
        <v>25.99</v>
      </c>
      <c r="U32" s="7">
        <v>14.99</v>
      </c>
      <c r="V32" s="7"/>
      <c r="W32" s="7">
        <v>15.99</v>
      </c>
      <c r="X32" s="7">
        <v>18.989999999999998</v>
      </c>
      <c r="Y32" s="7">
        <v>29.99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83939-42FA-41C4-96D7-EBAC5B819DE9}">
  <sheetPr codeName="Sheet5"/>
  <dimension ref="B2:E146"/>
  <sheetViews>
    <sheetView workbookViewId="0">
      <selection activeCell="E31" sqref="E31"/>
    </sheetView>
  </sheetViews>
  <sheetFormatPr defaultRowHeight="15" x14ac:dyDescent="0.25"/>
  <cols>
    <col min="2" max="2" width="45.28515625" bestFit="1" customWidth="1"/>
    <col min="3" max="3" width="11.42578125" style="8" bestFit="1" customWidth="1"/>
    <col min="4" max="4" width="16.42578125" bestFit="1" customWidth="1"/>
    <col min="5" max="5" width="187.42578125" customWidth="1"/>
  </cols>
  <sheetData>
    <row r="2" spans="2:5" x14ac:dyDescent="0.25">
      <c r="B2" t="s">
        <v>70</v>
      </c>
      <c r="C2" s="8" t="s">
        <v>69</v>
      </c>
      <c r="D2" t="s">
        <v>72</v>
      </c>
      <c r="E2" t="s">
        <v>71</v>
      </c>
    </row>
    <row r="3" spans="2:5" x14ac:dyDescent="0.25">
      <c r="B3" t="str" cm="1">
        <f t="array" ref="B3:B26">_xlfn.UNIQUE(Export[offer])</f>
        <v>Garlic Epic Stuffed Crust: A pizza inspired by you</v>
      </c>
      <c r="C3" s="8" cm="1">
        <f t="array" ref="C3">IF(B3="","",COUNTA(_xlfn.UNIQUE(_xlfn._xlws.FILTER(Export[store],Export[offer]='Unique Offer Titles'!B3))))</f>
        <v>26</v>
      </c>
      <c r="D3" t="str" cm="1">
        <f t="array" ref="D3">IF(B3="","",_xlfn.TEXTJOIN(", ",TRUE,_xlfn.UNIQUE(_xlfn._xlws.FILTER(Export[[DO or Franchise Name  ]],Export[offer]='Unique Offer Titles'!B3))))</f>
        <v>Portland, Tacoma</v>
      </c>
      <c r="E3" t="str" cm="1">
        <f t="array" ref="E3">IF(B3="","",_xlfn.TEXTJOIN(", ",TRUE,_xlfn.UNIQUE(_xlfn._xlws.FILTER(Export[store],Export[offer]='Unique Offer Titles'!B3))))</f>
        <v>1740, 1743, 2172, 2174, 2236, 2272, 2457, 2549, 2603, 2953, 3498, 4778, 2208, 2325, 2478, 2612, 2687, 2921, 3015, 4405, 5293, 5296, 2306, 2618, 3130, 3479</v>
      </c>
    </row>
    <row r="4" spans="2:5" x14ac:dyDescent="0.25">
      <c r="B4" t="str">
        <v>Calzone Papa Bites</v>
      </c>
      <c r="C4" s="8" cm="1">
        <f t="array" ref="C4">IF(B4="","",COUNTA(_xlfn.UNIQUE(_xlfn._xlws.FILTER(Export[store],Export[offer]='Unique Offer Titles'!B4))))</f>
        <v>26</v>
      </c>
      <c r="D4" t="str" cm="1">
        <f t="array" ref="D4">IF(B4="","",_xlfn.TEXTJOIN(", ",TRUE,_xlfn.UNIQUE(_xlfn._xlws.FILTER(Export[[DO or Franchise Name  ]],Export[offer]='Unique Offer Titles'!B4))))</f>
        <v>Portland, Tacoma</v>
      </c>
      <c r="E4" t="str" cm="1">
        <f t="array" ref="E4">IF(B4="","",_xlfn.TEXTJOIN(", ",TRUE,_xlfn.UNIQUE(_xlfn._xlws.FILTER(Export[store],Export[offer]='Unique Offer Titles'!B4))))</f>
        <v>1740, 1743, 2172, 2174, 2236, 2272, 2457, 2549, 2603, 2953, 3498, 4778, 2208, 2325, 2478, 2612, 2687, 2921, 3015, 4405, 5293, 5296, 2306, 2618, 3130, 3479</v>
      </c>
    </row>
    <row r="5" spans="2:5" x14ac:dyDescent="0.25">
      <c r="B5" t="str">
        <v>Papa Pairings</v>
      </c>
      <c r="C5" s="8" cm="1">
        <f t="array" ref="C5">IF(B5="","",COUNTA(_xlfn.UNIQUE(_xlfn._xlws.FILTER(Export[store],Export[offer]='Unique Offer Titles'!B5))))</f>
        <v>26</v>
      </c>
      <c r="D5" t="str" cm="1">
        <f t="array" ref="D5">IF(B5="","",_xlfn.TEXTJOIN(", ",TRUE,_xlfn.UNIQUE(_xlfn._xlws.FILTER(Export[[DO or Franchise Name  ]],Export[offer]='Unique Offer Titles'!B5))))</f>
        <v>Portland, Tacoma</v>
      </c>
      <c r="E5" t="str" cm="1">
        <f t="array" ref="E5">IF(B5="","",_xlfn.TEXTJOIN(", ",TRUE,_xlfn.UNIQUE(_xlfn._xlws.FILTER(Export[store],Export[offer]='Unique Offer Titles'!B5))))</f>
        <v>1740, 1743, 2172, 2174, 2236, 2272, 2457, 2549, 2603, 2953, 3498, 4778, 2208, 2325, 2478, 2612, 2687, 2921, 3015, 4405, 5293, 5296, 2306, 2618, 3130, 3479</v>
      </c>
    </row>
    <row r="6" spans="2:5" x14ac:dyDescent="0.25">
      <c r="B6" t="str">
        <v>Large 1 Topping Pizza for $9.99  Carryout Only!</v>
      </c>
      <c r="C6" s="8" cm="1">
        <f t="array" ref="C6">IF(B6="","",COUNTA(_xlfn.UNIQUE(_xlfn._xlws.FILTER(Export[store],Export[offer]='Unique Offer Titles'!B6))))</f>
        <v>26</v>
      </c>
      <c r="D6" t="str" cm="1">
        <f t="array" ref="D6">IF(B6="","",_xlfn.TEXTJOIN(", ",TRUE,_xlfn.UNIQUE(_xlfn._xlws.FILTER(Export[[DO or Franchise Name  ]],Export[offer]='Unique Offer Titles'!B6))))</f>
        <v>Portland, Tacoma</v>
      </c>
      <c r="E6" t="str" cm="1">
        <f t="array" ref="E6">IF(B6="","",_xlfn.TEXTJOIN(", ",TRUE,_xlfn.UNIQUE(_xlfn._xlws.FILTER(Export[store],Export[offer]='Unique Offer Titles'!B6))))</f>
        <v>1740, 1743, 2172, 2174, 2236, 2272, 2457, 2549, 2603, 2953, 3498, 4778, 2208, 2325, 2478, 2612, 2687, 2921, 3015, 4405, 5293, 5296, 2306, 2618, 3130, 3479</v>
      </c>
    </row>
    <row r="7" spans="2:5" x14ac:dyDescent="0.25">
      <c r="B7" t="str">
        <v>Large 1-Topping Pizza</v>
      </c>
      <c r="C7" s="8" cm="1">
        <f t="array" ref="C7">IF(B7="","",COUNTA(_xlfn.UNIQUE(_xlfn._xlws.FILTER(Export[store],Export[offer]='Unique Offer Titles'!B7))))</f>
        <v>26</v>
      </c>
      <c r="D7" t="str" cm="1">
        <f t="array" ref="D7">IF(B7="","",_xlfn.TEXTJOIN(", ",TRUE,_xlfn.UNIQUE(_xlfn._xlws.FILTER(Export[[DO or Franchise Name  ]],Export[offer]='Unique Offer Titles'!B7))))</f>
        <v>Portland, Tacoma</v>
      </c>
      <c r="E7" t="str" cm="1">
        <f t="array" ref="E7">IF(B7="","",_xlfn.TEXTJOIN(", ",TRUE,_xlfn.UNIQUE(_xlfn._xlws.FILTER(Export[store],Export[offer]='Unique Offer Titles'!B7))))</f>
        <v>1740, 1743, 2172, 2174, 2236, 2272, 2457, 2549, 2603, 2953, 3498, 4778, 2208, 2325, 2478, 2612, 2687, 2921, 3015, 4405, 5293, 5296, 2306, 2618, 3130, 3479</v>
      </c>
    </row>
    <row r="8" spans="2:5" x14ac:dyDescent="0.25">
      <c r="B8" t="str">
        <v>Carryout Offer - Large 5-topping or specialty</v>
      </c>
      <c r="C8" s="8" cm="1">
        <f t="array" ref="C8">IF(B8="","",COUNTA(_xlfn.UNIQUE(_xlfn._xlws.FILTER(Export[store],Export[offer]='Unique Offer Titles'!B8))))</f>
        <v>9</v>
      </c>
      <c r="D8" t="str" cm="1">
        <f t="array" ref="D8">IF(B8="","",_xlfn.TEXTJOIN(", ",TRUE,_xlfn.UNIQUE(_xlfn._xlws.FILTER(Export[[DO or Franchise Name  ]],Export[offer]='Unique Offer Titles'!B8))))</f>
        <v>Portland</v>
      </c>
      <c r="E8" t="str" cm="1">
        <f t="array" ref="E8">IF(B8="","",_xlfn.TEXTJOIN(", ",TRUE,_xlfn.UNIQUE(_xlfn._xlws.FILTER(Export[store],Export[offer]='Unique Offer Titles'!B8))))</f>
        <v>1740, 1743, 2172, 2174, 2272, 2457, 2549, 2603, 4778</v>
      </c>
    </row>
    <row r="9" spans="2:5" x14ac:dyDescent="0.25">
      <c r="B9" t="str">
        <v>Epic Stuffed Crust 1-Topping Pizza</v>
      </c>
      <c r="C9" s="8" cm="1">
        <f t="array" ref="C9">IF(B9="","",COUNTA(_xlfn.UNIQUE(_xlfn._xlws.FILTER(Export[store],Export[offer]='Unique Offer Titles'!B9))))</f>
        <v>26</v>
      </c>
      <c r="D9" t="str" cm="1">
        <f t="array" ref="D9">IF(B9="","",_xlfn.TEXTJOIN(", ",TRUE,_xlfn.UNIQUE(_xlfn._xlws.FILTER(Export[[DO or Franchise Name  ]],Export[offer]='Unique Offer Titles'!B9))))</f>
        <v>Portland, Tacoma</v>
      </c>
      <c r="E9" t="str" cm="1">
        <f t="array" ref="E9">IF(B9="","",_xlfn.TEXTJOIN(", ",TRUE,_xlfn.UNIQUE(_xlfn._xlws.FILTER(Export[store],Export[offer]='Unique Offer Titles'!B9))))</f>
        <v>1740, 1743, 2172, 2174, 2236, 2272, 2457, 2549, 2603, 2953, 3498, 4778, 2208, 2325, 2478, 2612, 2687, 2921, 3015, 4405, 5293, 5296, 2306, 2618, 3130, 3479</v>
      </c>
    </row>
    <row r="10" spans="2:5" x14ac:dyDescent="0.25">
      <c r="B10" t="str">
        <v>Any 10" Only $10</v>
      </c>
      <c r="C10" s="8" cm="1">
        <f t="array" ref="C10">IF(B10="","",COUNTA(_xlfn.UNIQUE(_xlfn._xlws.FILTER(Export[store],Export[offer]='Unique Offer Titles'!B10))))</f>
        <v>26</v>
      </c>
      <c r="D10" t="str" cm="1">
        <f t="array" ref="D10">IF(B10="","",_xlfn.TEXTJOIN(", ",TRUE,_xlfn.UNIQUE(_xlfn._xlws.FILTER(Export[[DO or Franchise Name  ]],Export[offer]='Unique Offer Titles'!B10))))</f>
        <v>Portland, Tacoma</v>
      </c>
      <c r="E10" t="str" cm="1">
        <f t="array" ref="E10">IF(B10="","",_xlfn.TEXTJOIN(", ",TRUE,_xlfn.UNIQUE(_xlfn._xlws.FILTER(Export[store],Export[offer]='Unique Offer Titles'!B10))))</f>
        <v>1740, 1743, 2172, 2174, 2236, 2272, 2457, 2549, 2603, 2953, 3498, 4778, 2208, 2325, 2478, 2612, 2687, 2921, 3015, 4405, 5293, 5296, 2306, 2618, 3130, 3479</v>
      </c>
    </row>
    <row r="11" spans="2:5" x14ac:dyDescent="0.25">
      <c r="B11" t="str">
        <v>Any Large Pizza - Up to 5 Toppings or Specialty</v>
      </c>
      <c r="C11" s="8" cm="1">
        <f t="array" ref="C11">IF(B11="","",COUNTA(_xlfn.UNIQUE(_xlfn._xlws.FILTER(Export[store],Export[offer]='Unique Offer Titles'!B11))))</f>
        <v>26</v>
      </c>
      <c r="D11" t="str" cm="1">
        <f t="array" ref="D11">IF(B11="","",_xlfn.TEXTJOIN(", ",TRUE,_xlfn.UNIQUE(_xlfn._xlws.FILTER(Export[[DO or Franchise Name  ]],Export[offer]='Unique Offer Titles'!B11))))</f>
        <v>Portland, Tacoma</v>
      </c>
      <c r="E11" t="str" cm="1">
        <f t="array" ref="E11">IF(B11="","",_xlfn.TEXTJOIN(", ",TRUE,_xlfn.UNIQUE(_xlfn._xlws.FILTER(Export[store],Export[offer]='Unique Offer Titles'!B11))))</f>
        <v>1740, 1743, 2172, 2174, 2236, 2272, 2457, 2549, 2603, 2953, 3498, 4778, 2208, 2325, 2478, 2612, 2687, 2921, 3015, 4405, 5293, 5296, 2306, 2618, 3130, 3479</v>
      </c>
    </row>
    <row r="12" spans="2:5" x14ac:dyDescent="0.25">
      <c r="B12" t="str">
        <v>Small Deal</v>
      </c>
      <c r="C12" s="8" cm="1">
        <f t="array" ref="C12">IF(B12="","",COUNTA(_xlfn.UNIQUE(_xlfn._xlws.FILTER(Export[store],Export[offer]='Unique Offer Titles'!B12))))</f>
        <v>12</v>
      </c>
      <c r="D12" t="str" cm="1">
        <f t="array" ref="D12">IF(B12="","",_xlfn.TEXTJOIN(", ",TRUE,_xlfn.UNIQUE(_xlfn._xlws.FILTER(Export[[DO or Franchise Name  ]],Export[offer]='Unique Offer Titles'!B12))))</f>
        <v>Portland</v>
      </c>
      <c r="E12" t="str" cm="1">
        <f t="array" ref="E12">IF(B12="","",_xlfn.TEXTJOIN(", ",TRUE,_xlfn.UNIQUE(_xlfn._xlws.FILTER(Export[store],Export[offer]='Unique Offer Titles'!B12))))</f>
        <v>1740, 1743, 2172, 2174, 2236, 2272, 2457, 2549, 2603, 2953, 3498, 4778</v>
      </c>
    </row>
    <row r="13" spans="2:5" x14ac:dyDescent="0.25">
      <c r="B13" t="str">
        <v>Any Medium Specialty Or 5-Topping</v>
      </c>
      <c r="C13" s="8" cm="1">
        <f t="array" ref="C13">IF(B13="","",COUNTA(_xlfn.UNIQUE(_xlfn._xlws.FILTER(Export[store],Export[offer]='Unique Offer Titles'!B13))))</f>
        <v>12</v>
      </c>
      <c r="D13" t="str" cm="1">
        <f t="array" ref="D13">IF(B13="","",_xlfn.TEXTJOIN(", ",TRUE,_xlfn.UNIQUE(_xlfn._xlws.FILTER(Export[[DO or Franchise Name  ]],Export[offer]='Unique Offer Titles'!B13))))</f>
        <v>Portland</v>
      </c>
      <c r="E13" t="str" cm="1">
        <f t="array" ref="E13">IF(B13="","",_xlfn.TEXTJOIN(", ",TRUE,_xlfn.UNIQUE(_xlfn._xlws.FILTER(Export[store],Export[offer]='Unique Offer Titles'!B13))))</f>
        <v>1740, 1743, 2172, 2174, 2236, 2272, 2457, 2549, 2603, 2953, 3498, 4778</v>
      </c>
    </row>
    <row r="14" spans="2:5" x14ac:dyDescent="0.25">
      <c r="B14" t="str">
        <v xml:space="preserve"> Extra Large 2-topping Pizza</v>
      </c>
      <c r="C14" s="8" cm="1">
        <f t="array" ref="C14">IF(B14="","",COUNTA(_xlfn.UNIQUE(_xlfn._xlws.FILTER(Export[store],Export[offer]='Unique Offer Titles'!B14))))</f>
        <v>12</v>
      </c>
      <c r="D14" t="str" cm="1">
        <f t="array" ref="D14">IF(B14="","",_xlfn.TEXTJOIN(", ",TRUE,_xlfn.UNIQUE(_xlfn._xlws.FILTER(Export[[DO or Franchise Name  ]],Export[offer]='Unique Offer Titles'!B14))))</f>
        <v>Portland</v>
      </c>
      <c r="E14" t="str" cm="1">
        <f t="array" ref="E14">IF(B14="","",_xlfn.TEXTJOIN(", ",TRUE,_xlfn.UNIQUE(_xlfn._xlws.FILTER(Export[store],Export[offer]='Unique Offer Titles'!B14))))</f>
        <v>1740, 1743, 2172, 2174, 2236, 2272, 2457, 2549, 2603, 2953, 3498, 4778</v>
      </c>
    </row>
    <row r="15" spans="2:5" x14ac:dyDescent="0.25">
      <c r="B15" t="str">
        <v>2 Large 2-Topping Pizzas</v>
      </c>
      <c r="C15" s="8" cm="1">
        <f t="array" ref="C15">IF(B15="","",COUNTA(_xlfn.UNIQUE(_xlfn._xlws.FILTER(Export[store],Export[offer]='Unique Offer Titles'!B15))))</f>
        <v>9</v>
      </c>
      <c r="D15" t="str" cm="1">
        <f t="array" ref="D15">IF(B15="","",_xlfn.TEXTJOIN(", ",TRUE,_xlfn.UNIQUE(_xlfn._xlws.FILTER(Export[[DO or Franchise Name  ]],Export[offer]='Unique Offer Titles'!B15))))</f>
        <v>Portland</v>
      </c>
      <c r="E15" t="str" cm="1">
        <f t="array" ref="E15">IF(B15="","",_xlfn.TEXTJOIN(", ",TRUE,_xlfn.UNIQUE(_xlfn._xlws.FILTER(Export[store],Export[offer]='Unique Offer Titles'!B15))))</f>
        <v>1740, 1743, 2172, 2174, 2272, 2457, 2549, 2603, 4778</v>
      </c>
    </row>
    <row r="16" spans="2:5" x14ac:dyDescent="0.25">
      <c r="B16" t="str">
        <v>NY-Style 1-Topping Pizza</v>
      </c>
      <c r="C16" s="8" cm="1">
        <f t="array" ref="C16">IF(B16="","",COUNTA(_xlfn.UNIQUE(_xlfn._xlws.FILTER(Export[store],Export[offer]='Unique Offer Titles'!B16))))</f>
        <v>25</v>
      </c>
      <c r="D16" t="str" cm="1">
        <f t="array" ref="D16">IF(B16="","",_xlfn.TEXTJOIN(", ",TRUE,_xlfn.UNIQUE(_xlfn._xlws.FILTER(Export[[DO or Franchise Name  ]],Export[offer]='Unique Offer Titles'!B16))))</f>
        <v>Portland, Tacoma</v>
      </c>
      <c r="E16" t="str" cm="1">
        <f t="array" ref="E16">IF(B16="","",_xlfn.TEXTJOIN(", ",TRUE,_xlfn.UNIQUE(_xlfn._xlws.FILTER(Export[store],Export[offer]='Unique Offer Titles'!B16))))</f>
        <v>1740, 1743, 2172, 2174, 2236, 2272, 2457, 2549, 2603, 2953, 3498, 4778, 2208, 2325, 2478, 2612, 2687, 2921, 3015, 4405, 5293, 2306, 2618, 3130, 3479</v>
      </c>
    </row>
    <row r="17" spans="2:5" x14ac:dyDescent="0.25">
      <c r="B17" t="str">
        <v>Family Special</v>
      </c>
      <c r="C17" s="8" cm="1">
        <f t="array" ref="C17">IF(B17="","",COUNTA(_xlfn.UNIQUE(_xlfn._xlws.FILTER(Export[store],Export[offer]='Unique Offer Titles'!B17))))</f>
        <v>26</v>
      </c>
      <c r="D17" t="str" cm="1">
        <f t="array" ref="D17">IF(B17="","",_xlfn.TEXTJOIN(", ",TRUE,_xlfn.UNIQUE(_xlfn._xlws.FILTER(Export[[DO or Franchise Name  ]],Export[offer]='Unique Offer Titles'!B17))))</f>
        <v>Portland, Tacoma</v>
      </c>
      <c r="E17" t="str" cm="1">
        <f t="array" ref="E17">IF(B17="","",_xlfn.TEXTJOIN(", ",TRUE,_xlfn.UNIQUE(_xlfn._xlws.FILTER(Export[store],Export[offer]='Unique Offer Titles'!B17))))</f>
        <v>1740, 1743, 2172, 2174, 2236, 2272, 2457, 2549, 2603, 2953, 3498, 4778, 2208, 2325, 2478, 2612, 2687, 2921, 3015, 4405, 5293, 5296, 2306, 2618, 3130, 3479</v>
      </c>
    </row>
    <row r="18" spans="2:5" x14ac:dyDescent="0.25">
      <c r="B18" t="str">
        <v>Any Large EPIC STUFFED CRUST</v>
      </c>
      <c r="C18" s="8" cm="1">
        <f t="array" ref="C18">IF(B18="","",COUNTA(_xlfn.UNIQUE(_xlfn._xlws.FILTER(Export[store],Export[offer]='Unique Offer Titles'!B18))))</f>
        <v>9</v>
      </c>
      <c r="D18" t="str" cm="1">
        <f t="array" ref="D18">IF(B18="","",_xlfn.TEXTJOIN(", ",TRUE,_xlfn.UNIQUE(_xlfn._xlws.FILTER(Export[[DO or Franchise Name  ]],Export[offer]='Unique Offer Titles'!B18))))</f>
        <v>Portland</v>
      </c>
      <c r="E18" t="str" cm="1">
        <f t="array" ref="E18">IF(B18="","",_xlfn.TEXTJOIN(", ",TRUE,_xlfn.UNIQUE(_xlfn._xlws.FILTER(Export[store],Export[offer]='Unique Offer Titles'!B18))))</f>
        <v>1740, 1743, 2172, 2174, 2272, 2457, 2549, 2603, 4778</v>
      </c>
    </row>
    <row r="19" spans="2:5" x14ac:dyDescent="0.25">
      <c r="B19" t="str">
        <v>Cheesy Calzone Epic Stuffed Crust Pizza</v>
      </c>
      <c r="C19" s="8" cm="1">
        <f t="array" ref="C19">IF(B19="","",COUNTA(_xlfn.UNIQUE(_xlfn._xlws.FILTER(Export[store],Export[offer]='Unique Offer Titles'!B19))))</f>
        <v>26</v>
      </c>
      <c r="D19" t="str" cm="1">
        <f t="array" ref="D19">IF(B19="","",_xlfn.TEXTJOIN(", ",TRUE,_xlfn.UNIQUE(_xlfn._xlws.FILTER(Export[[DO or Franchise Name  ]],Export[offer]='Unique Offer Titles'!B19))))</f>
        <v>Portland, Tacoma</v>
      </c>
      <c r="E19" t="str" cm="1">
        <f t="array" ref="E19">IF(B19="","",_xlfn.TEXTJOIN(", ",TRUE,_xlfn.UNIQUE(_xlfn._xlws.FILTER(Export[store],Export[offer]='Unique Offer Titles'!B19))))</f>
        <v>1740, 1743, 2172, 2174, 2236, 2272, 2457, 2549, 2603, 2953, 3498, 4778, 2208, 2325, 2478, 2612, 2687, 2921, 3015, 4405, 5293, 5296, 2306, 2618, 3130, 3479</v>
      </c>
    </row>
    <row r="20" spans="2:5" x14ac:dyDescent="0.25">
      <c r="B20" t="str">
        <v>Carryout Offer  Large Specialty or 5-Topping Pizza</v>
      </c>
      <c r="C20" s="8" cm="1">
        <f t="array" ref="C20">IF(B20="","",COUNTA(_xlfn.UNIQUE(_xlfn._xlws.FILTER(Export[store],Export[offer]='Unique Offer Titles'!B20))))</f>
        <v>3</v>
      </c>
      <c r="D20" t="str" cm="1">
        <f t="array" ref="D20">IF(B20="","",_xlfn.TEXTJOIN(", ",TRUE,_xlfn.UNIQUE(_xlfn._xlws.FILTER(Export[[DO or Franchise Name  ]],Export[offer]='Unique Offer Titles'!B20))))</f>
        <v>Portland</v>
      </c>
      <c r="E20" t="str" cm="1">
        <f t="array" ref="E20">IF(B20="","",_xlfn.TEXTJOIN(", ",TRUE,_xlfn.UNIQUE(_xlfn._xlws.FILTER(Export[store],Export[offer]='Unique Offer Titles'!B20))))</f>
        <v>2236, 2953, 3498</v>
      </c>
    </row>
    <row r="21" spans="2:5" x14ac:dyDescent="0.25">
      <c r="B21" t="str">
        <v>Stuffed Crust Specialty or up to 5 Topping</v>
      </c>
      <c r="C21" s="8" cm="1">
        <f t="array" ref="C21">IF(B21="","",COUNTA(_xlfn.UNIQUE(_xlfn._xlws.FILTER(Export[store],Export[offer]='Unique Offer Titles'!B21))))</f>
        <v>3</v>
      </c>
      <c r="D21" t="str" cm="1">
        <f t="array" ref="D21">IF(B21="","",_xlfn.TEXTJOIN(", ",TRUE,_xlfn.UNIQUE(_xlfn._xlws.FILTER(Export[[DO or Franchise Name  ]],Export[offer]='Unique Offer Titles'!B21))))</f>
        <v>Portland</v>
      </c>
      <c r="E21" t="str" cm="1">
        <f t="array" ref="E21">IF(B21="","",_xlfn.TEXTJOIN(", ",TRUE,_xlfn.UNIQUE(_xlfn._xlws.FILTER(Export[store],Export[offer]='Unique Offer Titles'!B21))))</f>
        <v>2236, 2953, 3498</v>
      </c>
    </row>
    <row r="22" spans="2:5" x14ac:dyDescent="0.25">
      <c r="B22" t="str">
        <v>Papa's Double Take</v>
      </c>
      <c r="C22" s="8" cm="1">
        <f t="array" ref="C22">IF(B22="","",COUNTA(_xlfn.UNIQUE(_xlfn._xlws.FILTER(Export[store],Export[offer]='Unique Offer Titles'!B22))))</f>
        <v>3</v>
      </c>
      <c r="D22" t="str" cm="1">
        <f t="array" ref="D22">IF(B22="","",_xlfn.TEXTJOIN(", ",TRUE,_xlfn.UNIQUE(_xlfn._xlws.FILTER(Export[[DO or Franchise Name  ]],Export[offer]='Unique Offer Titles'!B22))))</f>
        <v>Portland</v>
      </c>
      <c r="E22" t="str" cm="1">
        <f t="array" ref="E22">IF(B22="","",_xlfn.TEXTJOIN(", ",TRUE,_xlfn.UNIQUE(_xlfn._xlws.FILTER(Export[store],Export[offer]='Unique Offer Titles'!B22))))</f>
        <v>2236, 2953, 3498</v>
      </c>
    </row>
    <row r="23" spans="2:5" x14ac:dyDescent="0.25">
      <c r="B23" t="str">
        <v>Carryout ONLY! Large Specialty Pizza</v>
      </c>
      <c r="C23" s="8" cm="1">
        <f t="array" ref="C23">IF(B23="","",COUNTA(_xlfn.UNIQUE(_xlfn._xlws.FILTER(Export[store],Export[offer]='Unique Offer Titles'!B23))))</f>
        <v>14</v>
      </c>
      <c r="D23" t="str" cm="1">
        <f t="array" ref="D23">IF(B23="","",_xlfn.TEXTJOIN(", ",TRUE,_xlfn.UNIQUE(_xlfn._xlws.FILTER(Export[[DO or Franchise Name  ]],Export[offer]='Unique Offer Titles'!B23))))</f>
        <v>Tacoma</v>
      </c>
      <c r="E23" t="str" cm="1">
        <f t="array" ref="E23">IF(B23="","",_xlfn.TEXTJOIN(", ",TRUE,_xlfn.UNIQUE(_xlfn._xlws.FILTER(Export[store],Export[offer]='Unique Offer Titles'!B23))))</f>
        <v>2208, 2325, 2478, 2612, 2687, 2921, 3015, 4405, 5293, 5296, 2306, 2618, 3130, 3479</v>
      </c>
    </row>
    <row r="24" spans="2:5" x14ac:dyDescent="0.25">
      <c r="B24" t="str">
        <v>Two Pizza Deal</v>
      </c>
      <c r="C24" s="8" cm="1">
        <f t="array" ref="C24">IF(B24="","",COUNTA(_xlfn.UNIQUE(_xlfn._xlws.FILTER(Export[store],Export[offer]='Unique Offer Titles'!B24))))</f>
        <v>14</v>
      </c>
      <c r="D24" t="str" cm="1">
        <f t="array" ref="D24">IF(B24="","",_xlfn.TEXTJOIN(", ",TRUE,_xlfn.UNIQUE(_xlfn._xlws.FILTER(Export[[DO or Franchise Name  ]],Export[offer]='Unique Offer Titles'!B24))))</f>
        <v>Tacoma</v>
      </c>
      <c r="E24" t="str" cm="1">
        <f t="array" ref="E24">IF(B24="","",_xlfn.TEXTJOIN(", ",TRUE,_xlfn.UNIQUE(_xlfn._xlws.FILTER(Export[store],Export[offer]='Unique Offer Titles'!B24))))</f>
        <v>2208, 2325, 2478, 2612, 2687, 2921, 3015, 4405, 5293, 5296, 2306, 2618, 3130, 3479</v>
      </c>
    </row>
    <row r="25" spans="2:5" x14ac:dyDescent="0.25">
      <c r="B25" t="str">
        <v>25% Off Regular Menu Price</v>
      </c>
      <c r="C25" s="8" cm="1">
        <f t="array" ref="C25">IF(B25="","",COUNTA(_xlfn.UNIQUE(_xlfn._xlws.FILTER(Export[store],Export[offer]='Unique Offer Titles'!B25))))</f>
        <v>14</v>
      </c>
      <c r="D25" t="str" cm="1">
        <f t="array" ref="D25">IF(B25="","",_xlfn.TEXTJOIN(", ",TRUE,_xlfn.UNIQUE(_xlfn._xlws.FILTER(Export[[DO or Franchise Name  ]],Export[offer]='Unique Offer Titles'!B25))))</f>
        <v>Tacoma</v>
      </c>
      <c r="E25" t="str" cm="1">
        <f t="array" ref="E25">IF(B25="","",_xlfn.TEXTJOIN(", ",TRUE,_xlfn.UNIQUE(_xlfn._xlws.FILTER(Export[store],Export[offer]='Unique Offer Titles'!B25))))</f>
        <v>2208, 2325, 2478, 2612, 2687, 2921, 3015, 4405, 5293, 5296, 2306, 2618, 3130, 3479</v>
      </c>
    </row>
    <row r="26" spans="2:5" x14ac:dyDescent="0.25">
      <c r="B26" t="str">
        <v>30% OFF - TOYS FOR KIDS</v>
      </c>
      <c r="C26" s="8" cm="1">
        <f t="array" ref="C26">IF(B26="","",COUNTA(_xlfn.UNIQUE(_xlfn._xlws.FILTER(Export[store],Export[offer]='Unique Offer Titles'!B26))))</f>
        <v>14</v>
      </c>
      <c r="D26" t="str" cm="1">
        <f t="array" ref="D26">IF(B26="","",_xlfn.TEXTJOIN(", ",TRUE,_xlfn.UNIQUE(_xlfn._xlws.FILTER(Export[[DO or Franchise Name  ]],Export[offer]='Unique Offer Titles'!B26))))</f>
        <v>Tacoma</v>
      </c>
      <c r="E26" t="str" cm="1">
        <f t="array" ref="E26">IF(B26="","",_xlfn.TEXTJOIN(", ",TRUE,_xlfn.UNIQUE(_xlfn._xlws.FILTER(Export[store],Export[offer]='Unique Offer Titles'!B26))))</f>
        <v>2208, 2325, 2478, 2612, 2687, 2921, 3015, 4405, 5293, 5296, 2306, 2618, 3130, 3479</v>
      </c>
    </row>
    <row r="27" spans="2:5" x14ac:dyDescent="0.25">
      <c r="C27" s="8" t="str" cm="1">
        <f t="array" ref="C27">IF(B27="","",COUNTA(_xlfn.UNIQUE(_xlfn._xlws.FILTER(Export[store],Export[offer]='Unique Offer Titles'!B27))))</f>
        <v/>
      </c>
      <c r="D27" t="str" cm="1">
        <f t="array" ref="D27">IF(B27="","",_xlfn.TEXTJOIN(", ",TRUE,_xlfn.UNIQUE(_xlfn._xlws.FILTER(Export[[DO or Franchise Name  ]],Export[offer]='Unique Offer Titles'!B27))))</f>
        <v/>
      </c>
      <c r="E27" t="str" cm="1">
        <f t="array" ref="E27">IF(B27="","",_xlfn.TEXTJOIN(", ",TRUE,_xlfn.UNIQUE(_xlfn._xlws.FILTER(Export[store],Export[offer]='Unique Offer Titles'!B27))))</f>
        <v/>
      </c>
    </row>
    <row r="28" spans="2:5" x14ac:dyDescent="0.25">
      <c r="C28" s="8" t="str" cm="1">
        <f t="array" ref="C28">IF(B28="","",COUNTA(_xlfn.UNIQUE(_xlfn._xlws.FILTER(Export[store],Export[offer]='Unique Offer Titles'!B28))))</f>
        <v/>
      </c>
      <c r="D28" t="str" cm="1">
        <f t="array" ref="D28">IF(B28="","",_xlfn.TEXTJOIN(", ",TRUE,_xlfn.UNIQUE(_xlfn._xlws.FILTER(Export[[DO or Franchise Name  ]],Export[offer]='Unique Offer Titles'!B28))))</f>
        <v/>
      </c>
      <c r="E28" t="str" cm="1">
        <f t="array" ref="E28">IF(B28="","",_xlfn.TEXTJOIN(", ",TRUE,_xlfn.UNIQUE(_xlfn._xlws.FILTER(Export[store],Export[offer]='Unique Offer Titles'!B28))))</f>
        <v/>
      </c>
    </row>
    <row r="29" spans="2:5" x14ac:dyDescent="0.25">
      <c r="C29" s="8" t="str" cm="1">
        <f t="array" ref="C29">IF(B29="","",COUNTA(_xlfn.UNIQUE(_xlfn._xlws.FILTER(Export[store],Export[offer]='Unique Offer Titles'!B29))))</f>
        <v/>
      </c>
      <c r="D29" t="str" cm="1">
        <f t="array" ref="D29">IF(B29="","",_xlfn.TEXTJOIN(", ",TRUE,_xlfn.UNIQUE(_xlfn._xlws.FILTER(Export[[DO or Franchise Name  ]],Export[offer]='Unique Offer Titles'!B29))))</f>
        <v/>
      </c>
      <c r="E29" t="str" cm="1">
        <f t="array" ref="E29">IF(B29="","",_xlfn.TEXTJOIN(", ",TRUE,_xlfn.UNIQUE(_xlfn._xlws.FILTER(Export[store],Export[offer]='Unique Offer Titles'!B29))))</f>
        <v/>
      </c>
    </row>
    <row r="30" spans="2:5" x14ac:dyDescent="0.25">
      <c r="C30" s="8" t="str" cm="1">
        <f t="array" ref="C30">IF(B30="","",COUNTA(_xlfn.UNIQUE(_xlfn._xlws.FILTER(Export[store],Export[offer]='Unique Offer Titles'!B30))))</f>
        <v/>
      </c>
      <c r="D30" t="str" cm="1">
        <f t="array" ref="D30">IF(B30="","",_xlfn.TEXTJOIN(", ",TRUE,_xlfn.UNIQUE(_xlfn._xlws.FILTER(Export[[DO or Franchise Name  ]],Export[offer]='Unique Offer Titles'!B30))))</f>
        <v/>
      </c>
      <c r="E30" t="str" cm="1">
        <f t="array" ref="E30">IF(B30="","",_xlfn.TEXTJOIN(", ",TRUE,_xlfn.UNIQUE(_xlfn._xlws.FILTER(Export[store],Export[offer]='Unique Offer Titles'!B30))))</f>
        <v/>
      </c>
    </row>
    <row r="31" spans="2:5" x14ac:dyDescent="0.25">
      <c r="C31" s="8" t="str" cm="1">
        <f t="array" ref="C31">IF(B31="","",COUNTA(_xlfn.UNIQUE(_xlfn._xlws.FILTER(Export[store],Export[offer]='Unique Offer Titles'!B31))))</f>
        <v/>
      </c>
      <c r="D31" t="str" cm="1">
        <f t="array" ref="D31">IF(B31="","",_xlfn.TEXTJOIN(", ",TRUE,_xlfn.UNIQUE(_xlfn._xlws.FILTER(Export[[DO or Franchise Name  ]],Export[offer]='Unique Offer Titles'!B31))))</f>
        <v/>
      </c>
      <c r="E31" t="str" cm="1">
        <f t="array" ref="E31">IF(B31="","",_xlfn.TEXTJOIN(", ",TRUE,_xlfn.UNIQUE(_xlfn._xlws.FILTER(Export[store],Export[offer]='Unique Offer Titles'!B31))))</f>
        <v/>
      </c>
    </row>
    <row r="32" spans="2:5" x14ac:dyDescent="0.25">
      <c r="C32" s="8" t="str" cm="1">
        <f t="array" ref="C32">IF(B32="","",COUNTA(_xlfn.UNIQUE(_xlfn._xlws.FILTER(Export[store],Export[offer]='Unique Offer Titles'!B32))))</f>
        <v/>
      </c>
      <c r="D32" t="str" cm="1">
        <f t="array" ref="D32">IF(B32="","",_xlfn.TEXTJOIN(", ",TRUE,_xlfn.UNIQUE(_xlfn._xlws.FILTER(Export[[DO or Franchise Name  ]],Export[offer]='Unique Offer Titles'!B32))))</f>
        <v/>
      </c>
      <c r="E32" t="str" cm="1">
        <f t="array" ref="E32">IF(B32="","",_xlfn.TEXTJOIN(", ",TRUE,_xlfn.UNIQUE(_xlfn._xlws.FILTER(Export[store],Export[offer]='Unique Offer Titles'!B32))))</f>
        <v/>
      </c>
    </row>
    <row r="33" spans="3:5" x14ac:dyDescent="0.25">
      <c r="C33" s="8" t="str" cm="1">
        <f t="array" ref="C33">IF(B33="","",COUNTA(_xlfn.UNIQUE(_xlfn._xlws.FILTER(Export[store],Export[offer]='Unique Offer Titles'!B33))))</f>
        <v/>
      </c>
      <c r="D33" t="str" cm="1">
        <f t="array" ref="D33">IF(B33="","",_xlfn.TEXTJOIN(", ",TRUE,_xlfn.UNIQUE(_xlfn._xlws.FILTER(Export[[DO or Franchise Name  ]],Export[offer]='Unique Offer Titles'!B33))))</f>
        <v/>
      </c>
      <c r="E33" t="str" cm="1">
        <f t="array" ref="E33">IF(B33="","",_xlfn.TEXTJOIN(", ",TRUE,_xlfn.UNIQUE(_xlfn._xlws.FILTER(Export[store],Export[offer]='Unique Offer Titles'!B33))))</f>
        <v/>
      </c>
    </row>
    <row r="34" spans="3:5" x14ac:dyDescent="0.25">
      <c r="C34" s="8" t="str" cm="1">
        <f t="array" ref="C34">IF(B34="","",COUNTA(_xlfn.UNIQUE(_xlfn._xlws.FILTER(Export[store],Export[offer]='Unique Offer Titles'!B34))))</f>
        <v/>
      </c>
      <c r="D34" t="str" cm="1">
        <f t="array" ref="D34">IF(B34="","",_xlfn.TEXTJOIN(", ",TRUE,_xlfn.UNIQUE(_xlfn._xlws.FILTER(Export[[DO or Franchise Name  ]],Export[offer]='Unique Offer Titles'!B34))))</f>
        <v/>
      </c>
      <c r="E34" t="str" cm="1">
        <f t="array" ref="E34">IF(B34="","",_xlfn.TEXTJOIN(", ",TRUE,_xlfn.UNIQUE(_xlfn._xlws.FILTER(Export[store],Export[offer]='Unique Offer Titles'!B34))))</f>
        <v/>
      </c>
    </row>
    <row r="35" spans="3:5" x14ac:dyDescent="0.25">
      <c r="C35" s="8" t="str" cm="1">
        <f t="array" ref="C35">IF(B35="","",COUNTA(_xlfn.UNIQUE(_xlfn._xlws.FILTER(Export[store],Export[offer]='Unique Offer Titles'!B35))))</f>
        <v/>
      </c>
      <c r="D35" t="str" cm="1">
        <f t="array" ref="D35">IF(B35="","",_xlfn.TEXTJOIN(", ",TRUE,_xlfn.UNIQUE(_xlfn._xlws.FILTER(Export[[DO or Franchise Name  ]],Export[offer]='Unique Offer Titles'!B35))))</f>
        <v/>
      </c>
      <c r="E35" t="str" cm="1">
        <f t="array" ref="E35">IF(B35="","",_xlfn.TEXTJOIN(", ",TRUE,_xlfn.UNIQUE(_xlfn._xlws.FILTER(Export[store],Export[offer]='Unique Offer Titles'!B35))))</f>
        <v/>
      </c>
    </row>
    <row r="36" spans="3:5" x14ac:dyDescent="0.25">
      <c r="C36" s="8" t="str" cm="1">
        <f t="array" ref="C36">IF(B36="","",COUNTA(_xlfn.UNIQUE(_xlfn._xlws.FILTER(Export[store],Export[offer]='Unique Offer Titles'!B36))))</f>
        <v/>
      </c>
      <c r="D36" t="str" cm="1">
        <f t="array" ref="D36">IF(B36="","",_xlfn.TEXTJOIN(", ",TRUE,_xlfn.UNIQUE(_xlfn._xlws.FILTER(Export[[DO or Franchise Name  ]],Export[offer]='Unique Offer Titles'!B36))))</f>
        <v/>
      </c>
      <c r="E36" t="str" cm="1">
        <f t="array" ref="E36">IF(B36="","",_xlfn.TEXTJOIN(", ",TRUE,_xlfn.UNIQUE(_xlfn._xlws.FILTER(Export[store],Export[offer]='Unique Offer Titles'!B36))))</f>
        <v/>
      </c>
    </row>
    <row r="37" spans="3:5" x14ac:dyDescent="0.25">
      <c r="C37" s="8" t="str" cm="1">
        <f t="array" ref="C37">IF(B37="","",COUNTA(_xlfn.UNIQUE(_xlfn._xlws.FILTER(Export[store],Export[offer]='Unique Offer Titles'!B37))))</f>
        <v/>
      </c>
      <c r="D37" t="str" cm="1">
        <f t="array" ref="D37">IF(B37="","",_xlfn.TEXTJOIN(", ",TRUE,_xlfn.UNIQUE(_xlfn._xlws.FILTER(Export[[DO or Franchise Name  ]],Export[offer]='Unique Offer Titles'!B37))))</f>
        <v/>
      </c>
      <c r="E37" t="str" cm="1">
        <f t="array" ref="E37">IF(B37="","",_xlfn.TEXTJOIN(", ",TRUE,_xlfn.UNIQUE(_xlfn._xlws.FILTER(Export[store],Export[offer]='Unique Offer Titles'!B37))))</f>
        <v/>
      </c>
    </row>
    <row r="38" spans="3:5" x14ac:dyDescent="0.25">
      <c r="C38" s="8" t="str" cm="1">
        <f t="array" ref="C38">IF(B38="","",COUNTA(_xlfn.UNIQUE(_xlfn._xlws.FILTER(Export[store],Export[offer]='Unique Offer Titles'!B38))))</f>
        <v/>
      </c>
      <c r="D38" t="str" cm="1">
        <f t="array" ref="D38">IF(B38="","",_xlfn.TEXTJOIN(", ",TRUE,_xlfn.UNIQUE(_xlfn._xlws.FILTER(Export[[DO or Franchise Name  ]],Export[offer]='Unique Offer Titles'!B38))))</f>
        <v/>
      </c>
      <c r="E38" t="str" cm="1">
        <f t="array" ref="E38">IF(B38="","",_xlfn.TEXTJOIN(", ",TRUE,_xlfn.UNIQUE(_xlfn._xlws.FILTER(Export[store],Export[offer]='Unique Offer Titles'!B38))))</f>
        <v/>
      </c>
    </row>
    <row r="39" spans="3:5" x14ac:dyDescent="0.25">
      <c r="C39" s="8" t="str" cm="1">
        <f t="array" ref="C39">IF(B39="","",COUNTA(_xlfn.UNIQUE(_xlfn._xlws.FILTER(Export[store],Export[offer]='Unique Offer Titles'!B39))))</f>
        <v/>
      </c>
      <c r="D39" t="str" cm="1">
        <f t="array" ref="D39">IF(B39="","",_xlfn.TEXTJOIN(", ",TRUE,_xlfn.UNIQUE(_xlfn._xlws.FILTER(Export[[DO or Franchise Name  ]],Export[offer]='Unique Offer Titles'!B39))))</f>
        <v/>
      </c>
      <c r="E39" t="str" cm="1">
        <f t="array" ref="E39">IF(B39="","",_xlfn.TEXTJOIN(", ",TRUE,_xlfn.UNIQUE(_xlfn._xlws.FILTER(Export[store],Export[offer]='Unique Offer Titles'!B39))))</f>
        <v/>
      </c>
    </row>
    <row r="40" spans="3:5" x14ac:dyDescent="0.25">
      <c r="C40" s="8" t="str" cm="1">
        <f t="array" ref="C40">IF(B40="","",COUNTA(_xlfn.UNIQUE(_xlfn._xlws.FILTER(Export[store],Export[offer]='Unique Offer Titles'!B40))))</f>
        <v/>
      </c>
      <c r="D40" t="str" cm="1">
        <f t="array" ref="D40">IF(B40="","",_xlfn.TEXTJOIN(", ",TRUE,_xlfn.UNIQUE(_xlfn._xlws.FILTER(Export[[DO or Franchise Name  ]],Export[offer]='Unique Offer Titles'!B40))))</f>
        <v/>
      </c>
      <c r="E40" t="str" cm="1">
        <f t="array" ref="E40">IF(B40="","",_xlfn.TEXTJOIN(", ",TRUE,_xlfn.UNIQUE(_xlfn._xlws.FILTER(Export[store],Export[offer]='Unique Offer Titles'!B40))))</f>
        <v/>
      </c>
    </row>
    <row r="41" spans="3:5" x14ac:dyDescent="0.25">
      <c r="C41" s="8" t="str" cm="1">
        <f t="array" ref="C41">IF(B41="","",COUNTA(_xlfn.UNIQUE(_xlfn._xlws.FILTER(Export[store],Export[offer]='Unique Offer Titles'!B41))))</f>
        <v/>
      </c>
      <c r="D41" t="str" cm="1">
        <f t="array" ref="D41">IF(B41="","",_xlfn.TEXTJOIN(", ",TRUE,_xlfn.UNIQUE(_xlfn._xlws.FILTER(Export[[DO or Franchise Name  ]],Export[offer]='Unique Offer Titles'!B41))))</f>
        <v/>
      </c>
      <c r="E41" t="str" cm="1">
        <f t="array" ref="E41">IF(B41="","",_xlfn.TEXTJOIN(", ",TRUE,_xlfn.UNIQUE(_xlfn._xlws.FILTER(Export[store],Export[offer]='Unique Offer Titles'!B41))))</f>
        <v/>
      </c>
    </row>
    <row r="42" spans="3:5" x14ac:dyDescent="0.25">
      <c r="C42" s="8" t="str" cm="1">
        <f t="array" ref="C42">IF(B42="","",COUNTA(_xlfn.UNIQUE(_xlfn._xlws.FILTER(Export[store],Export[offer]='Unique Offer Titles'!B42))))</f>
        <v/>
      </c>
      <c r="D42" t="str" cm="1">
        <f t="array" ref="D42">IF(B42="","",_xlfn.TEXTJOIN(", ",TRUE,_xlfn.UNIQUE(_xlfn._xlws.FILTER(Export[[DO or Franchise Name  ]],Export[offer]='Unique Offer Titles'!B42))))</f>
        <v/>
      </c>
      <c r="E42" t="str" cm="1">
        <f t="array" ref="E42">IF(B42="","",_xlfn.TEXTJOIN(", ",TRUE,_xlfn.UNIQUE(_xlfn._xlws.FILTER(Export[store],Export[offer]='Unique Offer Titles'!B42))))</f>
        <v/>
      </c>
    </row>
    <row r="43" spans="3:5" x14ac:dyDescent="0.25">
      <c r="C43" s="8" t="str" cm="1">
        <f t="array" ref="C43">IF(B43="","",COUNTA(_xlfn.UNIQUE(_xlfn._xlws.FILTER(Export[store],Export[offer]='Unique Offer Titles'!B43))))</f>
        <v/>
      </c>
      <c r="D43" t="str" cm="1">
        <f t="array" ref="D43">IF(B43="","",_xlfn.TEXTJOIN(", ",TRUE,_xlfn.UNIQUE(_xlfn._xlws.FILTER(Export[[DO or Franchise Name  ]],Export[offer]='Unique Offer Titles'!B43))))</f>
        <v/>
      </c>
      <c r="E43" t="str" cm="1">
        <f t="array" ref="E43">IF(B43="","",_xlfn.TEXTJOIN(", ",TRUE,_xlfn.UNIQUE(_xlfn._xlws.FILTER(Export[store],Export[offer]='Unique Offer Titles'!B43))))</f>
        <v/>
      </c>
    </row>
    <row r="44" spans="3:5" x14ac:dyDescent="0.25">
      <c r="C44" s="8" t="str" cm="1">
        <f t="array" ref="C44">IF(B44="","",COUNTA(_xlfn.UNIQUE(_xlfn._xlws.FILTER(Export[store],Export[offer]='Unique Offer Titles'!B44))))</f>
        <v/>
      </c>
      <c r="D44" t="str" cm="1">
        <f t="array" ref="D44">IF(B44="","",_xlfn.TEXTJOIN(", ",TRUE,_xlfn.UNIQUE(_xlfn._xlws.FILTER(Export[[DO or Franchise Name  ]],Export[offer]='Unique Offer Titles'!B44))))</f>
        <v/>
      </c>
      <c r="E44" t="str" cm="1">
        <f t="array" ref="E44">IF(B44="","",_xlfn.TEXTJOIN(", ",TRUE,_xlfn.UNIQUE(_xlfn._xlws.FILTER(Export[store],Export[offer]='Unique Offer Titles'!B44))))</f>
        <v/>
      </c>
    </row>
    <row r="45" spans="3:5" x14ac:dyDescent="0.25">
      <c r="C45" s="8" t="str" cm="1">
        <f t="array" ref="C45">IF(B45="","",COUNTA(_xlfn.UNIQUE(_xlfn._xlws.FILTER(Export[store],Export[offer]='Unique Offer Titles'!B45))))</f>
        <v/>
      </c>
      <c r="D45" t="str" cm="1">
        <f t="array" ref="D45">IF(B45="","",_xlfn.TEXTJOIN(", ",TRUE,_xlfn.UNIQUE(_xlfn._xlws.FILTER(Export[[DO or Franchise Name  ]],Export[offer]='Unique Offer Titles'!B45))))</f>
        <v/>
      </c>
      <c r="E45" t="str" cm="1">
        <f t="array" ref="E45">IF(B45="","",_xlfn.TEXTJOIN(", ",TRUE,_xlfn.UNIQUE(_xlfn._xlws.FILTER(Export[store],Export[offer]='Unique Offer Titles'!B45))))</f>
        <v/>
      </c>
    </row>
    <row r="46" spans="3:5" x14ac:dyDescent="0.25">
      <c r="C46" s="8" t="str" cm="1">
        <f t="array" ref="C46">IF(B46="","",COUNTA(_xlfn.UNIQUE(_xlfn._xlws.FILTER(Export[store],Export[offer]='Unique Offer Titles'!B46))))</f>
        <v/>
      </c>
      <c r="D46" t="str" cm="1">
        <f t="array" ref="D46">IF(B46="","",_xlfn.TEXTJOIN(", ",TRUE,_xlfn.UNIQUE(_xlfn._xlws.FILTER(Export[[DO or Franchise Name  ]],Export[offer]='Unique Offer Titles'!B46))))</f>
        <v/>
      </c>
      <c r="E46" t="str" cm="1">
        <f t="array" ref="E46">IF(B46="","",_xlfn.TEXTJOIN(", ",TRUE,_xlfn.UNIQUE(_xlfn._xlws.FILTER(Export[store],Export[offer]='Unique Offer Titles'!B46))))</f>
        <v/>
      </c>
    </row>
    <row r="47" spans="3:5" x14ac:dyDescent="0.25">
      <c r="C47" s="8" t="str" cm="1">
        <f t="array" ref="C47">IF(B47="","",COUNTA(_xlfn.UNIQUE(_xlfn._xlws.FILTER(Export[store],Export[offer]='Unique Offer Titles'!B47))))</f>
        <v/>
      </c>
      <c r="D47" t="str" cm="1">
        <f t="array" ref="D47">IF(B47="","",_xlfn.TEXTJOIN(", ",TRUE,_xlfn.UNIQUE(_xlfn._xlws.FILTER(Export[[DO or Franchise Name  ]],Export[offer]='Unique Offer Titles'!B47))))</f>
        <v/>
      </c>
      <c r="E47" t="str" cm="1">
        <f t="array" ref="E47">IF(B47="","",_xlfn.TEXTJOIN(", ",TRUE,_xlfn.UNIQUE(_xlfn._xlws.FILTER(Export[store],Export[offer]='Unique Offer Titles'!B47))))</f>
        <v/>
      </c>
    </row>
    <row r="48" spans="3:5" x14ac:dyDescent="0.25">
      <c r="C48" s="8" t="str" cm="1">
        <f t="array" ref="C48">IF(B48="","",COUNTA(_xlfn.UNIQUE(_xlfn._xlws.FILTER(Export[store],Export[offer]='Unique Offer Titles'!B48))))</f>
        <v/>
      </c>
      <c r="D48" t="str" cm="1">
        <f t="array" ref="D48">IF(B48="","",_xlfn.TEXTJOIN(", ",TRUE,_xlfn.UNIQUE(_xlfn._xlws.FILTER(Export[[DO or Franchise Name  ]],Export[offer]='Unique Offer Titles'!B48))))</f>
        <v/>
      </c>
      <c r="E48" t="str" cm="1">
        <f t="array" ref="E48">IF(B48="","",_xlfn.TEXTJOIN(", ",TRUE,_xlfn.UNIQUE(_xlfn._xlws.FILTER(Export[store],Export[offer]='Unique Offer Titles'!B48))))</f>
        <v/>
      </c>
    </row>
    <row r="49" spans="3:5" x14ac:dyDescent="0.25">
      <c r="C49" s="8" t="str" cm="1">
        <f t="array" ref="C49">IF(B49="","",COUNTA(_xlfn.UNIQUE(_xlfn._xlws.FILTER(Export[store],Export[offer]='Unique Offer Titles'!B49))))</f>
        <v/>
      </c>
      <c r="D49" t="str" cm="1">
        <f t="array" ref="D49">IF(B49="","",_xlfn.TEXTJOIN(", ",TRUE,_xlfn.UNIQUE(_xlfn._xlws.FILTER(Export[[DO or Franchise Name  ]],Export[offer]='Unique Offer Titles'!B49))))</f>
        <v/>
      </c>
      <c r="E49" t="str" cm="1">
        <f t="array" ref="E49">IF(B49="","",_xlfn.TEXTJOIN(", ",TRUE,_xlfn.UNIQUE(_xlfn._xlws.FILTER(Export[store],Export[offer]='Unique Offer Titles'!B49))))</f>
        <v/>
      </c>
    </row>
    <row r="50" spans="3:5" x14ac:dyDescent="0.25">
      <c r="C50" s="8" t="str" cm="1">
        <f t="array" ref="C50">IF(B50="","",COUNTA(_xlfn.UNIQUE(_xlfn._xlws.FILTER(Export[store],Export[offer]='Unique Offer Titles'!B50))))</f>
        <v/>
      </c>
      <c r="D50" t="str" cm="1">
        <f t="array" ref="D50">IF(B50="","",_xlfn.TEXTJOIN(", ",TRUE,_xlfn.UNIQUE(_xlfn._xlws.FILTER(Export[[DO or Franchise Name  ]],Export[offer]='Unique Offer Titles'!B50))))</f>
        <v/>
      </c>
      <c r="E50" t="str" cm="1">
        <f t="array" ref="E50">IF(B50="","",_xlfn.TEXTJOIN(", ",TRUE,_xlfn.UNIQUE(_xlfn._xlws.FILTER(Export[store],Export[offer]='Unique Offer Titles'!B50))))</f>
        <v/>
      </c>
    </row>
    <row r="51" spans="3:5" x14ac:dyDescent="0.25">
      <c r="C51" s="8" t="str" cm="1">
        <f t="array" ref="C51">IF(B51="","",COUNTA(_xlfn.UNIQUE(_xlfn._xlws.FILTER(Export[store],Export[offer]='Unique Offer Titles'!B51))))</f>
        <v/>
      </c>
      <c r="D51" t="str" cm="1">
        <f t="array" ref="D51">IF(B51="","",_xlfn.TEXTJOIN(", ",TRUE,_xlfn.UNIQUE(_xlfn._xlws.FILTER(Export[[DO or Franchise Name  ]],Export[offer]='Unique Offer Titles'!B51))))</f>
        <v/>
      </c>
      <c r="E51" t="str" cm="1">
        <f t="array" ref="E51">IF(B51="","",_xlfn.TEXTJOIN(", ",TRUE,_xlfn.UNIQUE(_xlfn._xlws.FILTER(Export[store],Export[offer]='Unique Offer Titles'!B51))))</f>
        <v/>
      </c>
    </row>
    <row r="52" spans="3:5" x14ac:dyDescent="0.25">
      <c r="C52" s="8" t="str" cm="1">
        <f t="array" ref="C52">IF(B52="","",COUNTA(_xlfn.UNIQUE(_xlfn._xlws.FILTER(Export[store],Export[offer]='Unique Offer Titles'!B52))))</f>
        <v/>
      </c>
      <c r="D52" t="str" cm="1">
        <f t="array" ref="D52">IF(B52="","",_xlfn.TEXTJOIN(", ",TRUE,_xlfn.UNIQUE(_xlfn._xlws.FILTER(Export[[DO or Franchise Name  ]],Export[offer]='Unique Offer Titles'!B52))))</f>
        <v/>
      </c>
      <c r="E52" t="str" cm="1">
        <f t="array" ref="E52">IF(B52="","",_xlfn.TEXTJOIN(", ",TRUE,_xlfn.UNIQUE(_xlfn._xlws.FILTER(Export[store],Export[offer]='Unique Offer Titles'!B52))))</f>
        <v/>
      </c>
    </row>
    <row r="53" spans="3:5" x14ac:dyDescent="0.25">
      <c r="C53" s="8" t="str" cm="1">
        <f t="array" ref="C53">IF(B53="","",COUNTA(_xlfn.UNIQUE(_xlfn._xlws.FILTER(Export[store],Export[offer]='Unique Offer Titles'!B53))))</f>
        <v/>
      </c>
      <c r="D53" t="str" cm="1">
        <f t="array" ref="D53">IF(B53="","",_xlfn.TEXTJOIN(", ",TRUE,_xlfn.UNIQUE(_xlfn._xlws.FILTER(Export[[DO or Franchise Name  ]],Export[offer]='Unique Offer Titles'!B53))))</f>
        <v/>
      </c>
      <c r="E53" t="str" cm="1">
        <f t="array" ref="E53">IF(B53="","",_xlfn.TEXTJOIN(", ",TRUE,_xlfn.UNIQUE(_xlfn._xlws.FILTER(Export[store],Export[offer]='Unique Offer Titles'!B53))))</f>
        <v/>
      </c>
    </row>
    <row r="54" spans="3:5" x14ac:dyDescent="0.25">
      <c r="C54" s="8" t="str" cm="1">
        <f t="array" ref="C54">IF(B54="","",COUNTA(_xlfn.UNIQUE(_xlfn._xlws.FILTER(Export[store],Export[offer]='Unique Offer Titles'!B54))))</f>
        <v/>
      </c>
      <c r="D54" t="str" cm="1">
        <f t="array" ref="D54">IF(B54="","",_xlfn.TEXTJOIN(", ",TRUE,_xlfn.UNIQUE(_xlfn._xlws.FILTER(Export[[DO or Franchise Name  ]],Export[offer]='Unique Offer Titles'!B54))))</f>
        <v/>
      </c>
      <c r="E54" t="str" cm="1">
        <f t="array" ref="E54">IF(B54="","",_xlfn.TEXTJOIN(", ",TRUE,_xlfn.UNIQUE(_xlfn._xlws.FILTER(Export[store],Export[offer]='Unique Offer Titles'!B54))))</f>
        <v/>
      </c>
    </row>
    <row r="55" spans="3:5" x14ac:dyDescent="0.25">
      <c r="C55" s="8" t="str" cm="1">
        <f t="array" ref="C55">IF(B55="","",COUNTA(_xlfn.UNIQUE(_xlfn._xlws.FILTER(Export[store],Export[offer]='Unique Offer Titles'!B55))))</f>
        <v/>
      </c>
      <c r="D55" t="str" cm="1">
        <f t="array" ref="D55">IF(B55="","",_xlfn.TEXTJOIN(", ",TRUE,_xlfn.UNIQUE(_xlfn._xlws.FILTER(Export[[DO or Franchise Name  ]],Export[offer]='Unique Offer Titles'!B55))))</f>
        <v/>
      </c>
      <c r="E55" t="str" cm="1">
        <f t="array" ref="E55">IF(B55="","",_xlfn.TEXTJOIN(", ",TRUE,_xlfn.UNIQUE(_xlfn._xlws.FILTER(Export[store],Export[offer]='Unique Offer Titles'!B55))))</f>
        <v/>
      </c>
    </row>
    <row r="56" spans="3:5" x14ac:dyDescent="0.25">
      <c r="C56" s="8" t="str" cm="1">
        <f t="array" ref="C56">IF(B56="","",COUNTA(_xlfn.UNIQUE(_xlfn._xlws.FILTER(Export[store],Export[offer]='Unique Offer Titles'!B56))))</f>
        <v/>
      </c>
      <c r="D56" t="str" cm="1">
        <f t="array" ref="D56">IF(B56="","",_xlfn.TEXTJOIN(", ",TRUE,_xlfn.UNIQUE(_xlfn._xlws.FILTER(Export[[DO or Franchise Name  ]],Export[offer]='Unique Offer Titles'!B56))))</f>
        <v/>
      </c>
      <c r="E56" t="str" cm="1">
        <f t="array" ref="E56">IF(B56="","",_xlfn.TEXTJOIN(", ",TRUE,_xlfn.UNIQUE(_xlfn._xlws.FILTER(Export[store],Export[offer]='Unique Offer Titles'!B56))))</f>
        <v/>
      </c>
    </row>
    <row r="57" spans="3:5" x14ac:dyDescent="0.25">
      <c r="C57" s="8" t="str" cm="1">
        <f t="array" ref="C57">IF(B57="","",COUNTA(_xlfn.UNIQUE(_xlfn._xlws.FILTER(Export[store],Export[offer]='Unique Offer Titles'!B57))))</f>
        <v/>
      </c>
      <c r="D57" t="str" cm="1">
        <f t="array" ref="D57">IF(B57="","",_xlfn.TEXTJOIN(", ",TRUE,_xlfn.UNIQUE(_xlfn._xlws.FILTER(Export[[DO or Franchise Name  ]],Export[offer]='Unique Offer Titles'!B57))))</f>
        <v/>
      </c>
      <c r="E57" t="str" cm="1">
        <f t="array" ref="E57">IF(B57="","",_xlfn.TEXTJOIN(", ",TRUE,_xlfn.UNIQUE(_xlfn._xlws.FILTER(Export[store],Export[offer]='Unique Offer Titles'!B57))))</f>
        <v/>
      </c>
    </row>
    <row r="58" spans="3:5" x14ac:dyDescent="0.25">
      <c r="C58" s="8" t="str" cm="1">
        <f t="array" ref="C58">IF(B58="","",COUNTA(_xlfn.UNIQUE(_xlfn._xlws.FILTER(Export[store],Export[offer]='Unique Offer Titles'!B58))))</f>
        <v/>
      </c>
      <c r="D58" t="str" cm="1">
        <f t="array" ref="D58">IF(B58="","",_xlfn.TEXTJOIN(", ",TRUE,_xlfn.UNIQUE(_xlfn._xlws.FILTER(Export[[DO or Franchise Name  ]],Export[offer]='Unique Offer Titles'!B58))))</f>
        <v/>
      </c>
      <c r="E58" t="str" cm="1">
        <f t="array" ref="E58">IF(B58="","",_xlfn.TEXTJOIN(", ",TRUE,_xlfn.UNIQUE(_xlfn._xlws.FILTER(Export[store],Export[offer]='Unique Offer Titles'!B58))))</f>
        <v/>
      </c>
    </row>
    <row r="59" spans="3:5" x14ac:dyDescent="0.25">
      <c r="C59" s="8" t="str" cm="1">
        <f t="array" ref="C59">IF(B59="","",COUNTA(_xlfn.UNIQUE(_xlfn._xlws.FILTER(Export[store],Export[offer]='Unique Offer Titles'!B59))))</f>
        <v/>
      </c>
      <c r="D59" t="str" cm="1">
        <f t="array" ref="D59">IF(B59="","",_xlfn.TEXTJOIN(", ",TRUE,_xlfn.UNIQUE(_xlfn._xlws.FILTER(Export[[DO or Franchise Name  ]],Export[offer]='Unique Offer Titles'!B59))))</f>
        <v/>
      </c>
      <c r="E59" t="str" cm="1">
        <f t="array" ref="E59">IF(B59="","",_xlfn.TEXTJOIN(", ",TRUE,_xlfn.UNIQUE(_xlfn._xlws.FILTER(Export[store],Export[offer]='Unique Offer Titles'!B59))))</f>
        <v/>
      </c>
    </row>
    <row r="60" spans="3:5" x14ac:dyDescent="0.25">
      <c r="C60" s="8" t="str" cm="1">
        <f t="array" ref="C60">IF(B60="","",COUNTA(_xlfn.UNIQUE(_xlfn._xlws.FILTER(Export[store],Export[offer]='Unique Offer Titles'!B60))))</f>
        <v/>
      </c>
      <c r="D60" t="str" cm="1">
        <f t="array" ref="D60">IF(B60="","",_xlfn.TEXTJOIN(", ",TRUE,_xlfn.UNIQUE(_xlfn._xlws.FILTER(Export[[DO or Franchise Name  ]],Export[offer]='Unique Offer Titles'!B60))))</f>
        <v/>
      </c>
      <c r="E60" t="str" cm="1">
        <f t="array" ref="E60">IF(B60="","",_xlfn.TEXTJOIN(", ",TRUE,_xlfn.UNIQUE(_xlfn._xlws.FILTER(Export[store],Export[offer]='Unique Offer Titles'!B60))))</f>
        <v/>
      </c>
    </row>
    <row r="61" spans="3:5" x14ac:dyDescent="0.25">
      <c r="C61" s="8" t="str" cm="1">
        <f t="array" ref="C61">IF(B61="","",COUNTA(_xlfn.UNIQUE(_xlfn._xlws.FILTER(Export[store],Export[offer]='Unique Offer Titles'!B61))))</f>
        <v/>
      </c>
      <c r="D61" t="str" cm="1">
        <f t="array" ref="D61">IF(B61="","",_xlfn.TEXTJOIN(", ",TRUE,_xlfn.UNIQUE(_xlfn._xlws.FILTER(Export[[DO or Franchise Name  ]],Export[offer]='Unique Offer Titles'!B61))))</f>
        <v/>
      </c>
      <c r="E61" t="str" cm="1">
        <f t="array" ref="E61">IF(B61="","",_xlfn.TEXTJOIN(", ",TRUE,_xlfn.UNIQUE(_xlfn._xlws.FILTER(Export[store],Export[offer]='Unique Offer Titles'!B61))))</f>
        <v/>
      </c>
    </row>
    <row r="62" spans="3:5" x14ac:dyDescent="0.25">
      <c r="C62" s="8" t="str" cm="1">
        <f t="array" ref="C62">IF(B62="","",COUNTA(_xlfn.UNIQUE(_xlfn._xlws.FILTER(Export[store],Export[offer]='Unique Offer Titles'!B62))))</f>
        <v/>
      </c>
      <c r="D62" t="str" cm="1">
        <f t="array" ref="D62">IF(B62="","",_xlfn.TEXTJOIN(", ",TRUE,_xlfn.UNIQUE(_xlfn._xlws.FILTER(Export[[DO or Franchise Name  ]],Export[offer]='Unique Offer Titles'!B62))))</f>
        <v/>
      </c>
      <c r="E62" t="str" cm="1">
        <f t="array" ref="E62">IF(B62="","",_xlfn.TEXTJOIN(", ",TRUE,_xlfn.UNIQUE(_xlfn._xlws.FILTER(Export[store],Export[offer]='Unique Offer Titles'!B62))))</f>
        <v/>
      </c>
    </row>
    <row r="63" spans="3:5" x14ac:dyDescent="0.25">
      <c r="C63" s="8" t="str" cm="1">
        <f t="array" ref="C63">IF(B63="","",COUNTA(_xlfn.UNIQUE(_xlfn._xlws.FILTER(Export[store],Export[offer]='Unique Offer Titles'!B63))))</f>
        <v/>
      </c>
      <c r="D63" t="str" cm="1">
        <f t="array" ref="D63">IF(B63="","",_xlfn.TEXTJOIN(", ",TRUE,_xlfn.UNIQUE(_xlfn._xlws.FILTER(Export[[DO or Franchise Name  ]],Export[offer]='Unique Offer Titles'!B63))))</f>
        <v/>
      </c>
      <c r="E63" t="str" cm="1">
        <f t="array" ref="E63">IF(B63="","",_xlfn.TEXTJOIN(", ",TRUE,_xlfn.UNIQUE(_xlfn._xlws.FILTER(Export[store],Export[offer]='Unique Offer Titles'!B63))))</f>
        <v/>
      </c>
    </row>
    <row r="64" spans="3:5" x14ac:dyDescent="0.25">
      <c r="C64" s="8" t="str" cm="1">
        <f t="array" ref="C64">IF(B64="","",COUNTA(_xlfn.UNIQUE(_xlfn._xlws.FILTER(Export[store],Export[offer]='Unique Offer Titles'!B64))))</f>
        <v/>
      </c>
      <c r="D64" t="str" cm="1">
        <f t="array" ref="D64">IF(B64="","",_xlfn.TEXTJOIN(", ",TRUE,_xlfn.UNIQUE(_xlfn._xlws.FILTER(Export[[DO or Franchise Name  ]],Export[offer]='Unique Offer Titles'!B64))))</f>
        <v/>
      </c>
      <c r="E64" t="str" cm="1">
        <f t="array" ref="E64">IF(B64="","",_xlfn.TEXTJOIN(", ",TRUE,_xlfn.UNIQUE(_xlfn._xlws.FILTER(Export[store],Export[offer]='Unique Offer Titles'!B64))))</f>
        <v/>
      </c>
    </row>
    <row r="65" spans="3:5" x14ac:dyDescent="0.25">
      <c r="C65" s="8" t="str" cm="1">
        <f t="array" ref="C65">IF(B65="","",COUNTA(_xlfn.UNIQUE(_xlfn._xlws.FILTER(Export[store],Export[offer]='Unique Offer Titles'!B65))))</f>
        <v/>
      </c>
      <c r="D65" t="str" cm="1">
        <f t="array" ref="D65">IF(B65="","",_xlfn.TEXTJOIN(", ",TRUE,_xlfn.UNIQUE(_xlfn._xlws.FILTER(Export[[DO or Franchise Name  ]],Export[offer]='Unique Offer Titles'!B65))))</f>
        <v/>
      </c>
      <c r="E65" t="str" cm="1">
        <f t="array" ref="E65">IF(B65="","",_xlfn.TEXTJOIN(", ",TRUE,_xlfn.UNIQUE(_xlfn._xlws.FILTER(Export[store],Export[offer]='Unique Offer Titles'!B65))))</f>
        <v/>
      </c>
    </row>
    <row r="66" spans="3:5" x14ac:dyDescent="0.25">
      <c r="C66" s="8" t="str" cm="1">
        <f t="array" ref="C66">IF(B66="","",COUNTA(_xlfn.UNIQUE(_xlfn._xlws.FILTER(Export[store],Export[offer]='Unique Offer Titles'!B66))))</f>
        <v/>
      </c>
      <c r="D66" t="str" cm="1">
        <f t="array" ref="D66">IF(B66="","",_xlfn.TEXTJOIN(", ",TRUE,_xlfn.UNIQUE(_xlfn._xlws.FILTER(Export[[DO or Franchise Name  ]],Export[offer]='Unique Offer Titles'!B66))))</f>
        <v/>
      </c>
      <c r="E66" t="str" cm="1">
        <f t="array" ref="E66">IF(B66="","",_xlfn.TEXTJOIN(", ",TRUE,_xlfn.UNIQUE(_xlfn._xlws.FILTER(Export[store],Export[offer]='Unique Offer Titles'!B66))))</f>
        <v/>
      </c>
    </row>
    <row r="67" spans="3:5" x14ac:dyDescent="0.25">
      <c r="C67" s="8" t="str" cm="1">
        <f t="array" ref="C67">IF(B67="","",COUNTA(_xlfn.UNIQUE(_xlfn._xlws.FILTER(Export[store],Export[offer]='Unique Offer Titles'!B67))))</f>
        <v/>
      </c>
      <c r="D67" t="str" cm="1">
        <f t="array" ref="D67">IF(B67="","",_xlfn.TEXTJOIN(", ",TRUE,_xlfn.UNIQUE(_xlfn._xlws.FILTER(Export[[DO or Franchise Name  ]],Export[offer]='Unique Offer Titles'!B67))))</f>
        <v/>
      </c>
      <c r="E67" t="str" cm="1">
        <f t="array" ref="E67">IF(B67="","",_xlfn.TEXTJOIN(", ",TRUE,_xlfn.UNIQUE(_xlfn._xlws.FILTER(Export[store],Export[offer]='Unique Offer Titles'!B67))))</f>
        <v/>
      </c>
    </row>
    <row r="68" spans="3:5" x14ac:dyDescent="0.25">
      <c r="C68" s="8" t="str" cm="1">
        <f t="array" ref="C68">IF(B68="","",COUNTA(_xlfn.UNIQUE(_xlfn._xlws.FILTER(Export[store],Export[offer]='Unique Offer Titles'!B68))))</f>
        <v/>
      </c>
      <c r="D68" t="str" cm="1">
        <f t="array" ref="D68">IF(B68="","",_xlfn.TEXTJOIN(", ",TRUE,_xlfn.UNIQUE(_xlfn._xlws.FILTER(Export[[DO or Franchise Name  ]],Export[offer]='Unique Offer Titles'!B68))))</f>
        <v/>
      </c>
      <c r="E68" t="str" cm="1">
        <f t="array" ref="E68">IF(B68="","",_xlfn.TEXTJOIN(", ",TRUE,_xlfn.UNIQUE(_xlfn._xlws.FILTER(Export[store],Export[offer]='Unique Offer Titles'!B68))))</f>
        <v/>
      </c>
    </row>
    <row r="69" spans="3:5" x14ac:dyDescent="0.25">
      <c r="C69" s="8" t="str" cm="1">
        <f t="array" ref="C69">IF(B69="","",COUNTA(_xlfn.UNIQUE(_xlfn._xlws.FILTER(Export[store],Export[offer]='Unique Offer Titles'!B69))))</f>
        <v/>
      </c>
      <c r="D69" t="str" cm="1">
        <f t="array" ref="D69">IF(B69="","",_xlfn.TEXTJOIN(", ",TRUE,_xlfn.UNIQUE(_xlfn._xlws.FILTER(Export[[DO or Franchise Name  ]],Export[offer]='Unique Offer Titles'!B69))))</f>
        <v/>
      </c>
      <c r="E69" t="str" cm="1">
        <f t="array" ref="E69">IF(B69="","",_xlfn.TEXTJOIN(", ",TRUE,_xlfn.UNIQUE(_xlfn._xlws.FILTER(Export[store],Export[offer]='Unique Offer Titles'!B69))))</f>
        <v/>
      </c>
    </row>
    <row r="70" spans="3:5" x14ac:dyDescent="0.25">
      <c r="C70" s="8" t="str" cm="1">
        <f t="array" ref="C70">IF(B70="","",COUNTA(_xlfn.UNIQUE(_xlfn._xlws.FILTER(Export[store],Export[offer]='Unique Offer Titles'!B70))))</f>
        <v/>
      </c>
      <c r="D70" t="str" cm="1">
        <f t="array" ref="D70">IF(B70="","",_xlfn.TEXTJOIN(", ",TRUE,_xlfn.UNIQUE(_xlfn._xlws.FILTER(Export[[DO or Franchise Name  ]],Export[offer]='Unique Offer Titles'!B70))))</f>
        <v/>
      </c>
      <c r="E70" t="str" cm="1">
        <f t="array" ref="E70">IF(B70="","",_xlfn.TEXTJOIN(", ",TRUE,_xlfn.UNIQUE(_xlfn._xlws.FILTER(Export[store],Export[offer]='Unique Offer Titles'!B70))))</f>
        <v/>
      </c>
    </row>
    <row r="71" spans="3:5" x14ac:dyDescent="0.25">
      <c r="C71" s="8" t="str" cm="1">
        <f t="array" ref="C71">IF(B71="","",COUNTA(_xlfn.UNIQUE(_xlfn._xlws.FILTER(Export[store],Export[offer]='Unique Offer Titles'!B71))))</f>
        <v/>
      </c>
      <c r="D71" t="str" cm="1">
        <f t="array" ref="D71">IF(B71="","",_xlfn.TEXTJOIN(", ",TRUE,_xlfn.UNIQUE(_xlfn._xlws.FILTER(Export[[DO or Franchise Name  ]],Export[offer]='Unique Offer Titles'!B71))))</f>
        <v/>
      </c>
      <c r="E71" t="str" cm="1">
        <f t="array" ref="E71">IF(B71="","",_xlfn.TEXTJOIN(", ",TRUE,_xlfn.UNIQUE(_xlfn._xlws.FILTER(Export[store],Export[offer]='Unique Offer Titles'!B71))))</f>
        <v/>
      </c>
    </row>
    <row r="72" spans="3:5" x14ac:dyDescent="0.25">
      <c r="C72" s="8" t="str" cm="1">
        <f t="array" ref="C72">IF(B72="","",COUNTA(_xlfn.UNIQUE(_xlfn._xlws.FILTER(Export[store],Export[offer]='Unique Offer Titles'!B72))))</f>
        <v/>
      </c>
      <c r="D72" t="str" cm="1">
        <f t="array" ref="D72">IF(B72="","",_xlfn.TEXTJOIN(", ",TRUE,_xlfn.UNIQUE(_xlfn._xlws.FILTER(Export[[DO or Franchise Name  ]],Export[offer]='Unique Offer Titles'!B72))))</f>
        <v/>
      </c>
      <c r="E72" t="str" cm="1">
        <f t="array" ref="E72">IF(B72="","",_xlfn.TEXTJOIN(", ",TRUE,_xlfn.UNIQUE(_xlfn._xlws.FILTER(Export[store],Export[offer]='Unique Offer Titles'!B72))))</f>
        <v/>
      </c>
    </row>
    <row r="73" spans="3:5" x14ac:dyDescent="0.25">
      <c r="C73" s="8" t="str" cm="1">
        <f t="array" ref="C73">IF(B73="","",COUNTA(_xlfn.UNIQUE(_xlfn._xlws.FILTER(Export[store],Export[offer]='Unique Offer Titles'!B73))))</f>
        <v/>
      </c>
      <c r="D73" t="str" cm="1">
        <f t="array" ref="D73">IF(B73="","",_xlfn.TEXTJOIN(", ",TRUE,_xlfn.UNIQUE(_xlfn._xlws.FILTER(Export[[DO or Franchise Name  ]],Export[offer]='Unique Offer Titles'!B73))))</f>
        <v/>
      </c>
      <c r="E73" t="str" cm="1">
        <f t="array" ref="E73">IF(B73="","",_xlfn.TEXTJOIN(", ",TRUE,_xlfn.UNIQUE(_xlfn._xlws.FILTER(Export[store],Export[offer]='Unique Offer Titles'!B73))))</f>
        <v/>
      </c>
    </row>
    <row r="74" spans="3:5" x14ac:dyDescent="0.25">
      <c r="C74" s="8" t="str" cm="1">
        <f t="array" ref="C74">IF(B74="","",COUNTA(_xlfn.UNIQUE(_xlfn._xlws.FILTER(Export[store],Export[offer]='Unique Offer Titles'!B74))))</f>
        <v/>
      </c>
      <c r="D74" t="str" cm="1">
        <f t="array" ref="D74">IF(B74="","",_xlfn.TEXTJOIN(", ",TRUE,_xlfn.UNIQUE(_xlfn._xlws.FILTER(Export[[DO or Franchise Name  ]],Export[offer]='Unique Offer Titles'!B74))))</f>
        <v/>
      </c>
      <c r="E74" t="str" cm="1">
        <f t="array" ref="E74">IF(B74="","",_xlfn.TEXTJOIN(", ",TRUE,_xlfn.UNIQUE(_xlfn._xlws.FILTER(Export[store],Export[offer]='Unique Offer Titles'!B74))))</f>
        <v/>
      </c>
    </row>
    <row r="75" spans="3:5" x14ac:dyDescent="0.25">
      <c r="C75" s="8" t="str" cm="1">
        <f t="array" ref="C75">IF(B75="","",COUNTA(_xlfn.UNIQUE(_xlfn._xlws.FILTER(Export[store],Export[offer]='Unique Offer Titles'!B75))))</f>
        <v/>
      </c>
      <c r="D75" t="str" cm="1">
        <f t="array" ref="D75">IF(B75="","",_xlfn.TEXTJOIN(", ",TRUE,_xlfn.UNIQUE(_xlfn._xlws.FILTER(Export[[DO or Franchise Name  ]],Export[offer]='Unique Offer Titles'!B75))))</f>
        <v/>
      </c>
      <c r="E75" t="str" cm="1">
        <f t="array" ref="E75">IF(B75="","",_xlfn.TEXTJOIN(", ",TRUE,_xlfn.UNIQUE(_xlfn._xlws.FILTER(Export[store],Export[offer]='Unique Offer Titles'!B75))))</f>
        <v/>
      </c>
    </row>
    <row r="76" spans="3:5" x14ac:dyDescent="0.25">
      <c r="C76" s="8" t="str" cm="1">
        <f t="array" ref="C76">IF(B76="","",COUNTA(_xlfn.UNIQUE(_xlfn._xlws.FILTER(Export[store],Export[offer]='Unique Offer Titles'!B76))))</f>
        <v/>
      </c>
      <c r="D76" t="str" cm="1">
        <f t="array" ref="D76">IF(B76="","",_xlfn.TEXTJOIN(", ",TRUE,_xlfn.UNIQUE(_xlfn._xlws.FILTER(Export[[DO or Franchise Name  ]],Export[offer]='Unique Offer Titles'!B76))))</f>
        <v/>
      </c>
      <c r="E76" t="str" cm="1">
        <f t="array" ref="E76">IF(B76="","",_xlfn.TEXTJOIN(", ",TRUE,_xlfn.UNIQUE(_xlfn._xlws.FILTER(Export[store],Export[offer]='Unique Offer Titles'!B76))))</f>
        <v/>
      </c>
    </row>
    <row r="77" spans="3:5" x14ac:dyDescent="0.25">
      <c r="C77" s="8" t="str" cm="1">
        <f t="array" ref="C77">IF(B77="","",COUNTA(_xlfn.UNIQUE(_xlfn._xlws.FILTER(Export[store],Export[offer]='Unique Offer Titles'!B77))))</f>
        <v/>
      </c>
      <c r="D77" t="str" cm="1">
        <f t="array" ref="D77">IF(B77="","",_xlfn.TEXTJOIN(", ",TRUE,_xlfn.UNIQUE(_xlfn._xlws.FILTER(Export[[DO or Franchise Name  ]],Export[offer]='Unique Offer Titles'!B77))))</f>
        <v/>
      </c>
      <c r="E77" t="str" cm="1">
        <f t="array" ref="E77">IF(B77="","",_xlfn.TEXTJOIN(", ",TRUE,_xlfn.UNIQUE(_xlfn._xlws.FILTER(Export[store],Export[offer]='Unique Offer Titles'!B77))))</f>
        <v/>
      </c>
    </row>
    <row r="78" spans="3:5" x14ac:dyDescent="0.25">
      <c r="C78" s="8" t="str" cm="1">
        <f t="array" ref="C78">IF(B78="","",COUNTA(_xlfn.UNIQUE(_xlfn._xlws.FILTER(Export[store],Export[offer]='Unique Offer Titles'!B78))))</f>
        <v/>
      </c>
      <c r="D78" t="str" cm="1">
        <f t="array" ref="D78">IF(B78="","",_xlfn.TEXTJOIN(", ",TRUE,_xlfn.UNIQUE(_xlfn._xlws.FILTER(Export[[DO or Franchise Name  ]],Export[offer]='Unique Offer Titles'!B78))))</f>
        <v/>
      </c>
      <c r="E78" t="str" cm="1">
        <f t="array" ref="E78">IF(B78="","",_xlfn.TEXTJOIN(", ",TRUE,_xlfn.UNIQUE(_xlfn._xlws.FILTER(Export[store],Export[offer]='Unique Offer Titles'!B78))))</f>
        <v/>
      </c>
    </row>
    <row r="79" spans="3:5" x14ac:dyDescent="0.25">
      <c r="C79" s="8" t="str" cm="1">
        <f t="array" ref="C79">IF(B79="","",COUNTA(_xlfn.UNIQUE(_xlfn._xlws.FILTER(Export[store],Export[offer]='Unique Offer Titles'!B79))))</f>
        <v/>
      </c>
      <c r="D79" t="str" cm="1">
        <f t="array" ref="D79">IF(B79="","",_xlfn.TEXTJOIN(", ",TRUE,_xlfn.UNIQUE(_xlfn._xlws.FILTER(Export[[DO or Franchise Name  ]],Export[offer]='Unique Offer Titles'!B79))))</f>
        <v/>
      </c>
      <c r="E79" t="str" cm="1">
        <f t="array" ref="E79">IF(B79="","",_xlfn.TEXTJOIN(", ",TRUE,_xlfn.UNIQUE(_xlfn._xlws.FILTER(Export[store],Export[offer]='Unique Offer Titles'!B79))))</f>
        <v/>
      </c>
    </row>
    <row r="80" spans="3:5" x14ac:dyDescent="0.25">
      <c r="C80" s="8" t="str" cm="1">
        <f t="array" ref="C80">IF(B80="","",COUNTA(_xlfn.UNIQUE(_xlfn._xlws.FILTER(Export[store],Export[offer]='Unique Offer Titles'!B80))))</f>
        <v/>
      </c>
      <c r="D80" t="str" cm="1">
        <f t="array" ref="D80">IF(B80="","",_xlfn.TEXTJOIN(", ",TRUE,_xlfn.UNIQUE(_xlfn._xlws.FILTER(Export[[DO or Franchise Name  ]],Export[offer]='Unique Offer Titles'!B80))))</f>
        <v/>
      </c>
      <c r="E80" t="str" cm="1">
        <f t="array" ref="E80">IF(B80="","",_xlfn.TEXTJOIN(", ",TRUE,_xlfn.UNIQUE(_xlfn._xlws.FILTER(Export[store],Export[offer]='Unique Offer Titles'!B80))))</f>
        <v/>
      </c>
    </row>
    <row r="81" spans="3:5" x14ac:dyDescent="0.25">
      <c r="C81" s="8" t="str" cm="1">
        <f t="array" ref="C81">IF(B81="","",COUNTA(_xlfn.UNIQUE(_xlfn._xlws.FILTER(Export[store],Export[offer]='Unique Offer Titles'!B81))))</f>
        <v/>
      </c>
      <c r="D81" t="str" cm="1">
        <f t="array" ref="D81">IF(B81="","",_xlfn.TEXTJOIN(", ",TRUE,_xlfn.UNIQUE(_xlfn._xlws.FILTER(Export[[DO or Franchise Name  ]],Export[offer]='Unique Offer Titles'!B81))))</f>
        <v/>
      </c>
      <c r="E81" t="str" cm="1">
        <f t="array" ref="E81">IF(B81="","",_xlfn.TEXTJOIN(", ",TRUE,_xlfn.UNIQUE(_xlfn._xlws.FILTER(Export[store],Export[offer]='Unique Offer Titles'!B81))))</f>
        <v/>
      </c>
    </row>
    <row r="82" spans="3:5" x14ac:dyDescent="0.25">
      <c r="C82" s="8" t="str" cm="1">
        <f t="array" ref="C82">IF(B82="","",COUNTA(_xlfn.UNIQUE(_xlfn._xlws.FILTER(Export[store],Export[offer]='Unique Offer Titles'!B82))))</f>
        <v/>
      </c>
      <c r="D82" t="str" cm="1">
        <f t="array" ref="D82">IF(B82="","",_xlfn.TEXTJOIN(", ",TRUE,_xlfn.UNIQUE(_xlfn._xlws.FILTER(Export[[DO or Franchise Name  ]],Export[offer]='Unique Offer Titles'!B82))))</f>
        <v/>
      </c>
      <c r="E82" t="str" cm="1">
        <f t="array" ref="E82">IF(B82="","",_xlfn.TEXTJOIN(", ",TRUE,_xlfn.UNIQUE(_xlfn._xlws.FILTER(Export[store],Export[offer]='Unique Offer Titles'!B82))))</f>
        <v/>
      </c>
    </row>
    <row r="83" spans="3:5" x14ac:dyDescent="0.25">
      <c r="C83" s="8" t="str" cm="1">
        <f t="array" ref="C83">IF(B83="","",COUNTA(_xlfn.UNIQUE(_xlfn._xlws.FILTER(Export[store],Export[offer]='Unique Offer Titles'!B83))))</f>
        <v/>
      </c>
      <c r="D83" t="str" cm="1">
        <f t="array" ref="D83">IF(B83="","",_xlfn.TEXTJOIN(", ",TRUE,_xlfn.UNIQUE(_xlfn._xlws.FILTER(Export[[DO or Franchise Name  ]],Export[offer]='Unique Offer Titles'!B83))))</f>
        <v/>
      </c>
      <c r="E83" t="str" cm="1">
        <f t="array" ref="E83">IF(B83="","",_xlfn.TEXTJOIN(", ",TRUE,_xlfn.UNIQUE(_xlfn._xlws.FILTER(Export[store],Export[offer]='Unique Offer Titles'!B83))))</f>
        <v/>
      </c>
    </row>
    <row r="84" spans="3:5" x14ac:dyDescent="0.25">
      <c r="C84" s="8" t="str" cm="1">
        <f t="array" ref="C84">IF(B84="","",COUNTA(_xlfn.UNIQUE(_xlfn._xlws.FILTER(Export[store],Export[offer]='Unique Offer Titles'!B84))))</f>
        <v/>
      </c>
      <c r="D84" t="str" cm="1">
        <f t="array" ref="D84">IF(B84="","",_xlfn.TEXTJOIN(", ",TRUE,_xlfn.UNIQUE(_xlfn._xlws.FILTER(Export[[DO or Franchise Name  ]],Export[offer]='Unique Offer Titles'!B84))))</f>
        <v/>
      </c>
      <c r="E84" t="str" cm="1">
        <f t="array" ref="E84">IF(B84="","",_xlfn.TEXTJOIN(", ",TRUE,_xlfn.UNIQUE(_xlfn._xlws.FILTER(Export[store],Export[offer]='Unique Offer Titles'!B84))))</f>
        <v/>
      </c>
    </row>
    <row r="85" spans="3:5" x14ac:dyDescent="0.25">
      <c r="C85" s="8" t="str" cm="1">
        <f t="array" ref="C85">IF(B85="","",COUNTA(_xlfn.UNIQUE(_xlfn._xlws.FILTER(Export[store],Export[offer]='Unique Offer Titles'!B85))))</f>
        <v/>
      </c>
      <c r="D85" t="str" cm="1">
        <f t="array" ref="D85">IF(B85="","",_xlfn.TEXTJOIN(", ",TRUE,_xlfn.UNIQUE(_xlfn._xlws.FILTER(Export[[DO or Franchise Name  ]],Export[offer]='Unique Offer Titles'!B85))))</f>
        <v/>
      </c>
      <c r="E85" t="str" cm="1">
        <f t="array" ref="E85">IF(B85="","",_xlfn.TEXTJOIN(", ",TRUE,_xlfn.UNIQUE(_xlfn._xlws.FILTER(Export[store],Export[offer]='Unique Offer Titles'!B85))))</f>
        <v/>
      </c>
    </row>
    <row r="86" spans="3:5" x14ac:dyDescent="0.25">
      <c r="C86" s="8" t="str" cm="1">
        <f t="array" ref="C86">IF(B86="","",COUNTA(_xlfn.UNIQUE(_xlfn._xlws.FILTER(Export[store],Export[offer]='Unique Offer Titles'!B86))))</f>
        <v/>
      </c>
      <c r="D86" t="str" cm="1">
        <f t="array" ref="D86">IF(B86="","",_xlfn.TEXTJOIN(", ",TRUE,_xlfn.UNIQUE(_xlfn._xlws.FILTER(Export[[DO or Franchise Name  ]],Export[offer]='Unique Offer Titles'!B86))))</f>
        <v/>
      </c>
      <c r="E86" t="str" cm="1">
        <f t="array" ref="E86">IF(B86="","",_xlfn.TEXTJOIN(", ",TRUE,_xlfn.UNIQUE(_xlfn._xlws.FILTER(Export[store],Export[offer]='Unique Offer Titles'!B86))))</f>
        <v/>
      </c>
    </row>
    <row r="87" spans="3:5" x14ac:dyDescent="0.25">
      <c r="C87" s="8" t="str" cm="1">
        <f t="array" ref="C87">IF(B87="","",COUNTA(_xlfn.UNIQUE(_xlfn._xlws.FILTER(Export[store],Export[offer]='Unique Offer Titles'!B87))))</f>
        <v/>
      </c>
      <c r="D87" t="str" cm="1">
        <f t="array" ref="D87">IF(B87="","",_xlfn.TEXTJOIN(", ",TRUE,_xlfn.UNIQUE(_xlfn._xlws.FILTER(Export[[DO or Franchise Name  ]],Export[offer]='Unique Offer Titles'!B87))))</f>
        <v/>
      </c>
      <c r="E87" t="str" cm="1">
        <f t="array" ref="E87">IF(B87="","",_xlfn.TEXTJOIN(", ",TRUE,_xlfn.UNIQUE(_xlfn._xlws.FILTER(Export[store],Export[offer]='Unique Offer Titles'!B87))))</f>
        <v/>
      </c>
    </row>
    <row r="88" spans="3:5" x14ac:dyDescent="0.25">
      <c r="C88" s="8" t="str" cm="1">
        <f t="array" ref="C88">IF(B88="","",COUNTA(_xlfn.UNIQUE(_xlfn._xlws.FILTER(Export[store],Export[offer]='Unique Offer Titles'!B88))))</f>
        <v/>
      </c>
      <c r="D88" t="str" cm="1">
        <f t="array" ref="D88">IF(B88="","",_xlfn.TEXTJOIN(", ",TRUE,_xlfn.UNIQUE(_xlfn._xlws.FILTER(Export[[DO or Franchise Name  ]],Export[offer]='Unique Offer Titles'!B88))))</f>
        <v/>
      </c>
      <c r="E88" t="str" cm="1">
        <f t="array" ref="E88">IF(B88="","",_xlfn.TEXTJOIN(", ",TRUE,_xlfn.UNIQUE(_xlfn._xlws.FILTER(Export[store],Export[offer]='Unique Offer Titles'!B88))))</f>
        <v/>
      </c>
    </row>
    <row r="89" spans="3:5" x14ac:dyDescent="0.25">
      <c r="C89" s="8" t="str" cm="1">
        <f t="array" ref="C89">IF(B89="","",COUNTA(_xlfn.UNIQUE(_xlfn._xlws.FILTER(Export[store],Export[offer]='Unique Offer Titles'!B89))))</f>
        <v/>
      </c>
      <c r="D89" t="str" cm="1">
        <f t="array" ref="D89">IF(B89="","",_xlfn.TEXTJOIN(", ",TRUE,_xlfn.UNIQUE(_xlfn._xlws.FILTER(Export[[DO or Franchise Name  ]],Export[offer]='Unique Offer Titles'!B89))))</f>
        <v/>
      </c>
      <c r="E89" t="str" cm="1">
        <f t="array" ref="E89">IF(B89="","",_xlfn.TEXTJOIN(", ",TRUE,_xlfn.UNIQUE(_xlfn._xlws.FILTER(Export[store],Export[offer]='Unique Offer Titles'!B89))))</f>
        <v/>
      </c>
    </row>
    <row r="90" spans="3:5" x14ac:dyDescent="0.25">
      <c r="C90" s="8" t="str" cm="1">
        <f t="array" ref="C90">IF(B90="","",COUNTA(_xlfn.UNIQUE(_xlfn._xlws.FILTER(Export[store],Export[offer]='Unique Offer Titles'!B90))))</f>
        <v/>
      </c>
      <c r="D90" t="str" cm="1">
        <f t="array" ref="D90">IF(B90="","",_xlfn.TEXTJOIN(", ",TRUE,_xlfn.UNIQUE(_xlfn._xlws.FILTER(Export[[DO or Franchise Name  ]],Export[offer]='Unique Offer Titles'!B90))))</f>
        <v/>
      </c>
      <c r="E90" t="str" cm="1">
        <f t="array" ref="E90">IF(B90="","",_xlfn.TEXTJOIN(", ",TRUE,_xlfn.UNIQUE(_xlfn._xlws.FILTER(Export[store],Export[offer]='Unique Offer Titles'!B90))))</f>
        <v/>
      </c>
    </row>
    <row r="91" spans="3:5" x14ac:dyDescent="0.25">
      <c r="C91" s="8" t="str" cm="1">
        <f t="array" ref="C91">IF(B91="","",COUNTA(_xlfn.UNIQUE(_xlfn._xlws.FILTER(Export[store],Export[offer]='Unique Offer Titles'!B91))))</f>
        <v/>
      </c>
      <c r="D91" t="str" cm="1">
        <f t="array" ref="D91">IF(B91="","",_xlfn.TEXTJOIN(", ",TRUE,_xlfn.UNIQUE(_xlfn._xlws.FILTER(Export[[DO or Franchise Name  ]],Export[offer]='Unique Offer Titles'!B91))))</f>
        <v/>
      </c>
      <c r="E91" t="str" cm="1">
        <f t="array" ref="E91">IF(B91="","",_xlfn.TEXTJOIN(", ",TRUE,_xlfn.UNIQUE(_xlfn._xlws.FILTER(Export[store],Export[offer]='Unique Offer Titles'!B91))))</f>
        <v/>
      </c>
    </row>
    <row r="92" spans="3:5" x14ac:dyDescent="0.25">
      <c r="C92" s="8" t="str" cm="1">
        <f t="array" ref="C92">IF(B92="","",COUNTA(_xlfn.UNIQUE(_xlfn._xlws.FILTER(Export[store],Export[offer]='Unique Offer Titles'!B92))))</f>
        <v/>
      </c>
      <c r="D92" t="str" cm="1">
        <f t="array" ref="D92">IF(B92="","",_xlfn.TEXTJOIN(", ",TRUE,_xlfn.UNIQUE(_xlfn._xlws.FILTER(Export[[DO or Franchise Name  ]],Export[offer]='Unique Offer Titles'!B92))))</f>
        <v/>
      </c>
      <c r="E92" t="str" cm="1">
        <f t="array" ref="E92">IF(B92="","",_xlfn.TEXTJOIN(", ",TRUE,_xlfn.UNIQUE(_xlfn._xlws.FILTER(Export[store],Export[offer]='Unique Offer Titles'!B92))))</f>
        <v/>
      </c>
    </row>
    <row r="93" spans="3:5" x14ac:dyDescent="0.25">
      <c r="C93" s="8" t="str" cm="1">
        <f t="array" ref="C93">IF(B93="","",COUNTA(_xlfn.UNIQUE(_xlfn._xlws.FILTER(Export[store],Export[offer]='Unique Offer Titles'!B93))))</f>
        <v/>
      </c>
      <c r="D93" t="str" cm="1">
        <f t="array" ref="D93">IF(B93="","",_xlfn.TEXTJOIN(", ",TRUE,_xlfn.UNIQUE(_xlfn._xlws.FILTER(Export[[DO or Franchise Name  ]],Export[offer]='Unique Offer Titles'!B93))))</f>
        <v/>
      </c>
      <c r="E93" t="str" cm="1">
        <f t="array" ref="E93">IF(B93="","",_xlfn.TEXTJOIN(", ",TRUE,_xlfn.UNIQUE(_xlfn._xlws.FILTER(Export[store],Export[offer]='Unique Offer Titles'!B93))))</f>
        <v/>
      </c>
    </row>
    <row r="94" spans="3:5" x14ac:dyDescent="0.25">
      <c r="C94" s="8" t="str" cm="1">
        <f t="array" ref="C94">IF(B94="","",COUNTA(_xlfn.UNIQUE(_xlfn._xlws.FILTER(Export[store],Export[offer]='Unique Offer Titles'!B94))))</f>
        <v/>
      </c>
      <c r="D94" t="str" cm="1">
        <f t="array" ref="D94">IF(B94="","",_xlfn.TEXTJOIN(", ",TRUE,_xlfn.UNIQUE(_xlfn._xlws.FILTER(Export[[DO or Franchise Name  ]],Export[offer]='Unique Offer Titles'!B94))))</f>
        <v/>
      </c>
      <c r="E94" t="str" cm="1">
        <f t="array" ref="E94">IF(B94="","",_xlfn.TEXTJOIN(", ",TRUE,_xlfn.UNIQUE(_xlfn._xlws.FILTER(Export[store],Export[offer]='Unique Offer Titles'!B94))))</f>
        <v/>
      </c>
    </row>
    <row r="95" spans="3:5" x14ac:dyDescent="0.25">
      <c r="C95" s="8" t="str" cm="1">
        <f t="array" ref="C95">IF(B95="","",COUNTA(_xlfn.UNIQUE(_xlfn._xlws.FILTER(Export[store],Export[offer]='Unique Offer Titles'!B95))))</f>
        <v/>
      </c>
      <c r="D95" t="str" cm="1">
        <f t="array" ref="D95">IF(B95="","",_xlfn.TEXTJOIN(", ",TRUE,_xlfn.UNIQUE(_xlfn._xlws.FILTER(Export[[DO or Franchise Name  ]],Export[offer]='Unique Offer Titles'!B95))))</f>
        <v/>
      </c>
      <c r="E95" t="str" cm="1">
        <f t="array" ref="E95">IF(B95="","",_xlfn.TEXTJOIN(", ",TRUE,_xlfn.UNIQUE(_xlfn._xlws.FILTER(Export[store],Export[offer]='Unique Offer Titles'!B95))))</f>
        <v/>
      </c>
    </row>
    <row r="96" spans="3:5" x14ac:dyDescent="0.25">
      <c r="C96" s="8" t="str" cm="1">
        <f t="array" ref="C96">IF(B96="","",COUNTA(_xlfn.UNIQUE(_xlfn._xlws.FILTER(Export[store],Export[offer]='Unique Offer Titles'!B96))))</f>
        <v/>
      </c>
      <c r="D96" t="str" cm="1">
        <f t="array" ref="D96">IF(B96="","",_xlfn.TEXTJOIN(", ",TRUE,_xlfn.UNIQUE(_xlfn._xlws.FILTER(Export[[DO or Franchise Name  ]],Export[offer]='Unique Offer Titles'!B96))))</f>
        <v/>
      </c>
      <c r="E96" t="str" cm="1">
        <f t="array" ref="E96">IF(B96="","",_xlfn.TEXTJOIN(", ",TRUE,_xlfn.UNIQUE(_xlfn._xlws.FILTER(Export[store],Export[offer]='Unique Offer Titles'!B96))))</f>
        <v/>
      </c>
    </row>
    <row r="97" spans="3:5" x14ac:dyDescent="0.25">
      <c r="C97" s="8" t="str" cm="1">
        <f t="array" ref="C97">IF(B97="","",COUNTA(_xlfn.UNIQUE(_xlfn._xlws.FILTER(Export[store],Export[offer]='Unique Offer Titles'!B97))))</f>
        <v/>
      </c>
      <c r="D97" t="str" cm="1">
        <f t="array" ref="D97">IF(B97="","",_xlfn.TEXTJOIN(", ",TRUE,_xlfn.UNIQUE(_xlfn._xlws.FILTER(Export[[DO or Franchise Name  ]],Export[offer]='Unique Offer Titles'!B97))))</f>
        <v/>
      </c>
      <c r="E97" t="str" cm="1">
        <f t="array" ref="E97">IF(B97="","",_xlfn.TEXTJOIN(", ",TRUE,_xlfn.UNIQUE(_xlfn._xlws.FILTER(Export[store],Export[offer]='Unique Offer Titles'!B97))))</f>
        <v/>
      </c>
    </row>
    <row r="98" spans="3:5" x14ac:dyDescent="0.25">
      <c r="C98" s="8" t="str" cm="1">
        <f t="array" ref="C98">IF(B98="","",COUNTA(_xlfn.UNIQUE(_xlfn._xlws.FILTER(Export[store],Export[offer]='Unique Offer Titles'!B98))))</f>
        <v/>
      </c>
      <c r="D98" t="str" cm="1">
        <f t="array" ref="D98">IF(B98="","",_xlfn.TEXTJOIN(", ",TRUE,_xlfn.UNIQUE(_xlfn._xlws.FILTER(Export[[DO or Franchise Name  ]],Export[offer]='Unique Offer Titles'!B98))))</f>
        <v/>
      </c>
      <c r="E98" t="str" cm="1">
        <f t="array" ref="E98">IF(B98="","",_xlfn.TEXTJOIN(", ",TRUE,_xlfn.UNIQUE(_xlfn._xlws.FILTER(Export[store],Export[offer]='Unique Offer Titles'!B98))))</f>
        <v/>
      </c>
    </row>
    <row r="99" spans="3:5" x14ac:dyDescent="0.25">
      <c r="C99" s="8" t="str" cm="1">
        <f t="array" ref="C99">IF(B99="","",COUNTA(_xlfn.UNIQUE(_xlfn._xlws.FILTER(Export[store],Export[offer]='Unique Offer Titles'!B99))))</f>
        <v/>
      </c>
      <c r="D99" t="str" cm="1">
        <f t="array" ref="D99">IF(B99="","",_xlfn.TEXTJOIN(", ",TRUE,_xlfn.UNIQUE(_xlfn._xlws.FILTER(Export[[DO or Franchise Name  ]],Export[offer]='Unique Offer Titles'!B99))))</f>
        <v/>
      </c>
      <c r="E99" t="str" cm="1">
        <f t="array" ref="E99">IF(B99="","",_xlfn.TEXTJOIN(", ",TRUE,_xlfn.UNIQUE(_xlfn._xlws.FILTER(Export[store],Export[offer]='Unique Offer Titles'!B99))))</f>
        <v/>
      </c>
    </row>
    <row r="100" spans="3:5" x14ac:dyDescent="0.25">
      <c r="C100" s="8" t="str" cm="1">
        <f t="array" ref="C100">IF(B100="","",COUNTA(_xlfn.UNIQUE(_xlfn._xlws.FILTER(Export[store],Export[offer]='Unique Offer Titles'!B100))))</f>
        <v/>
      </c>
      <c r="D100" t="str" cm="1">
        <f t="array" ref="D100">IF(B100="","",_xlfn.TEXTJOIN(", ",TRUE,_xlfn.UNIQUE(_xlfn._xlws.FILTER(Export[[DO or Franchise Name  ]],Export[offer]='Unique Offer Titles'!B100))))</f>
        <v/>
      </c>
      <c r="E100" t="str" cm="1">
        <f t="array" ref="E100">IF(B100="","",_xlfn.TEXTJOIN(", ",TRUE,_xlfn.UNIQUE(_xlfn._xlws.FILTER(Export[store],Export[offer]='Unique Offer Titles'!B100))))</f>
        <v/>
      </c>
    </row>
    <row r="101" spans="3:5" x14ac:dyDescent="0.25">
      <c r="C101" s="8" t="str" cm="1">
        <f t="array" ref="C101">IF(B101="","",COUNTA(_xlfn.UNIQUE(_xlfn._xlws.FILTER(Export[store],Export[offer]='Unique Offer Titles'!B101))))</f>
        <v/>
      </c>
      <c r="D101" t="str" cm="1">
        <f t="array" ref="D101">IF(B101="","",_xlfn.TEXTJOIN(", ",TRUE,_xlfn.UNIQUE(_xlfn._xlws.FILTER(Export[[DO or Franchise Name  ]],Export[offer]='Unique Offer Titles'!B101))))</f>
        <v/>
      </c>
      <c r="E101" t="str" cm="1">
        <f t="array" ref="E101">IF(B101="","",_xlfn.TEXTJOIN(", ",TRUE,_xlfn.UNIQUE(_xlfn._xlws.FILTER(Export[store],Export[offer]='Unique Offer Titles'!B101))))</f>
        <v/>
      </c>
    </row>
    <row r="102" spans="3:5" x14ac:dyDescent="0.25">
      <c r="C102" s="8" t="str" cm="1">
        <f t="array" ref="C102">IF(B102="","",COUNTA(_xlfn.UNIQUE(_xlfn._xlws.FILTER(Export[store],Export[offer]='Unique Offer Titles'!B102))))</f>
        <v/>
      </c>
      <c r="D102" t="str" cm="1">
        <f t="array" ref="D102">IF(B102="","",_xlfn.TEXTJOIN(", ",TRUE,_xlfn.UNIQUE(_xlfn._xlws.FILTER(Export[[DO or Franchise Name  ]],Export[offer]='Unique Offer Titles'!B102))))</f>
        <v/>
      </c>
      <c r="E102" t="str" cm="1">
        <f t="array" ref="E102">IF(B102="","",_xlfn.TEXTJOIN(", ",TRUE,_xlfn.UNIQUE(_xlfn._xlws.FILTER(Export[store],Export[offer]='Unique Offer Titles'!B102))))</f>
        <v/>
      </c>
    </row>
    <row r="103" spans="3:5" x14ac:dyDescent="0.25">
      <c r="C103" s="8" t="str" cm="1">
        <f t="array" ref="C103">IF(B103="","",COUNTA(_xlfn.UNIQUE(_xlfn._xlws.FILTER(Export[store],Export[offer]='Unique Offer Titles'!B103))))</f>
        <v/>
      </c>
      <c r="D103" t="str" cm="1">
        <f t="array" ref="D103">IF(B103="","",_xlfn.TEXTJOIN(", ",TRUE,_xlfn.UNIQUE(_xlfn._xlws.FILTER(Export[[DO or Franchise Name  ]],Export[offer]='Unique Offer Titles'!B103))))</f>
        <v/>
      </c>
      <c r="E103" t="str" cm="1">
        <f t="array" ref="E103">IF(B103="","",_xlfn.TEXTJOIN(", ",TRUE,_xlfn.UNIQUE(_xlfn._xlws.FILTER(Export[store],Export[offer]='Unique Offer Titles'!B103))))</f>
        <v/>
      </c>
    </row>
    <row r="104" spans="3:5" x14ac:dyDescent="0.25">
      <c r="C104" s="8" t="str" cm="1">
        <f t="array" ref="C104">IF(B104="","",COUNTA(_xlfn.UNIQUE(_xlfn._xlws.FILTER(Export[store],Export[offer]='Unique Offer Titles'!B104))))</f>
        <v/>
      </c>
      <c r="D104" t="str" cm="1">
        <f t="array" ref="D104">IF(B104="","",_xlfn.TEXTJOIN(", ",TRUE,_xlfn.UNIQUE(_xlfn._xlws.FILTER(Export[[DO or Franchise Name  ]],Export[offer]='Unique Offer Titles'!B104))))</f>
        <v/>
      </c>
      <c r="E104" t="str" cm="1">
        <f t="array" ref="E104">IF(B104="","",_xlfn.TEXTJOIN(", ",TRUE,_xlfn.UNIQUE(_xlfn._xlws.FILTER(Export[store],Export[offer]='Unique Offer Titles'!B104))))</f>
        <v/>
      </c>
    </row>
    <row r="105" spans="3:5" x14ac:dyDescent="0.25">
      <c r="C105" s="8" t="str" cm="1">
        <f t="array" ref="C105">IF(B105="","",COUNTA(_xlfn.UNIQUE(_xlfn._xlws.FILTER(Export[store],Export[offer]='Unique Offer Titles'!B105))))</f>
        <v/>
      </c>
      <c r="D105" t="str" cm="1">
        <f t="array" ref="D105">IF(B105="","",_xlfn.TEXTJOIN(", ",TRUE,_xlfn.UNIQUE(_xlfn._xlws.FILTER(Export[[DO or Franchise Name  ]],Export[offer]='Unique Offer Titles'!B105))))</f>
        <v/>
      </c>
      <c r="E105" t="str" cm="1">
        <f t="array" ref="E105">IF(B105="","",_xlfn.TEXTJOIN(", ",TRUE,_xlfn.UNIQUE(_xlfn._xlws.FILTER(Export[store],Export[offer]='Unique Offer Titles'!B105))))</f>
        <v/>
      </c>
    </row>
    <row r="106" spans="3:5" x14ac:dyDescent="0.25">
      <c r="C106" s="8" t="str" cm="1">
        <f t="array" ref="C106">IF(B106="","",COUNTA(_xlfn.UNIQUE(_xlfn._xlws.FILTER(Export[store],Export[offer]='Unique Offer Titles'!B106))))</f>
        <v/>
      </c>
      <c r="D106" t="str" cm="1">
        <f t="array" ref="D106">IF(B106="","",_xlfn.TEXTJOIN(", ",TRUE,_xlfn.UNIQUE(_xlfn._xlws.FILTER(Export[[DO or Franchise Name  ]],Export[offer]='Unique Offer Titles'!B106))))</f>
        <v/>
      </c>
      <c r="E106" t="str" cm="1">
        <f t="array" ref="E106">IF(B106="","",_xlfn.TEXTJOIN(", ",TRUE,_xlfn.UNIQUE(_xlfn._xlws.FILTER(Export[store],Export[offer]='Unique Offer Titles'!B106))))</f>
        <v/>
      </c>
    </row>
    <row r="107" spans="3:5" x14ac:dyDescent="0.25">
      <c r="C107" s="8" t="str" cm="1">
        <f t="array" ref="C107">IF(B107="","",COUNTA(_xlfn.UNIQUE(_xlfn._xlws.FILTER(Export[store],Export[offer]='Unique Offer Titles'!B107))))</f>
        <v/>
      </c>
      <c r="D107" t="str" cm="1">
        <f t="array" ref="D107">IF(B107="","",_xlfn.TEXTJOIN(", ",TRUE,_xlfn.UNIQUE(_xlfn._xlws.FILTER(Export[[DO or Franchise Name  ]],Export[offer]='Unique Offer Titles'!B107))))</f>
        <v/>
      </c>
      <c r="E107" t="str" cm="1">
        <f t="array" ref="E107">IF(B107="","",_xlfn.TEXTJOIN(", ",TRUE,_xlfn.UNIQUE(_xlfn._xlws.FILTER(Export[store],Export[offer]='Unique Offer Titles'!B107))))</f>
        <v/>
      </c>
    </row>
    <row r="108" spans="3:5" x14ac:dyDescent="0.25">
      <c r="C108" s="8" t="str" cm="1">
        <f t="array" ref="C108">IF(B108="","",COUNTA(_xlfn.UNIQUE(_xlfn._xlws.FILTER(Export[store],Export[offer]='Unique Offer Titles'!B108))))</f>
        <v/>
      </c>
      <c r="D108" t="str" cm="1">
        <f t="array" ref="D108">IF(B108="","",_xlfn.TEXTJOIN(", ",TRUE,_xlfn.UNIQUE(_xlfn._xlws.FILTER(Export[[DO or Franchise Name  ]],Export[offer]='Unique Offer Titles'!B108))))</f>
        <v/>
      </c>
      <c r="E108" t="str" cm="1">
        <f t="array" ref="E108">IF(B108="","",_xlfn.TEXTJOIN(", ",TRUE,_xlfn.UNIQUE(_xlfn._xlws.FILTER(Export[store],Export[offer]='Unique Offer Titles'!B108))))</f>
        <v/>
      </c>
    </row>
    <row r="109" spans="3:5" x14ac:dyDescent="0.25">
      <c r="C109" s="8" t="str" cm="1">
        <f t="array" ref="C109">IF(B109="","",COUNTA(_xlfn.UNIQUE(_xlfn._xlws.FILTER(Export[store],Export[offer]='Unique Offer Titles'!B109))))</f>
        <v/>
      </c>
      <c r="D109" t="str" cm="1">
        <f t="array" ref="D109">IF(B109="","",_xlfn.TEXTJOIN(", ",TRUE,_xlfn.UNIQUE(_xlfn._xlws.FILTER(Export[[DO or Franchise Name  ]],Export[offer]='Unique Offer Titles'!B109))))</f>
        <v/>
      </c>
      <c r="E109" t="str" cm="1">
        <f t="array" ref="E109">IF(B109="","",_xlfn.TEXTJOIN(", ",TRUE,_xlfn.UNIQUE(_xlfn._xlws.FILTER(Export[store],Export[offer]='Unique Offer Titles'!B109))))</f>
        <v/>
      </c>
    </row>
    <row r="110" spans="3:5" x14ac:dyDescent="0.25">
      <c r="C110" s="8" t="str" cm="1">
        <f t="array" ref="C110">IF(B110="","",COUNTA(_xlfn.UNIQUE(_xlfn._xlws.FILTER(Export[store],Export[offer]='Unique Offer Titles'!B110))))</f>
        <v/>
      </c>
      <c r="D110" t="str" cm="1">
        <f t="array" ref="D110">IF(B110="","",_xlfn.TEXTJOIN(", ",TRUE,_xlfn.UNIQUE(_xlfn._xlws.FILTER(Export[[DO or Franchise Name  ]],Export[offer]='Unique Offer Titles'!B110))))</f>
        <v/>
      </c>
      <c r="E110" t="str" cm="1">
        <f t="array" ref="E110">IF(B110="","",_xlfn.TEXTJOIN(", ",TRUE,_xlfn.UNIQUE(_xlfn._xlws.FILTER(Export[store],Export[offer]='Unique Offer Titles'!B110))))</f>
        <v/>
      </c>
    </row>
    <row r="111" spans="3:5" x14ac:dyDescent="0.25">
      <c r="C111" s="8" t="str" cm="1">
        <f t="array" ref="C111">IF(B111="","",COUNTA(_xlfn.UNIQUE(_xlfn._xlws.FILTER(Export[store],Export[offer]='Unique Offer Titles'!B111))))</f>
        <v/>
      </c>
      <c r="D111" t="str" cm="1">
        <f t="array" ref="D111">IF(B111="","",_xlfn.TEXTJOIN(", ",TRUE,_xlfn.UNIQUE(_xlfn._xlws.FILTER(Export[[DO or Franchise Name  ]],Export[offer]='Unique Offer Titles'!B111))))</f>
        <v/>
      </c>
      <c r="E111" t="str" cm="1">
        <f t="array" ref="E111">IF(B111="","",_xlfn.TEXTJOIN(", ",TRUE,_xlfn.UNIQUE(_xlfn._xlws.FILTER(Export[store],Export[offer]='Unique Offer Titles'!B111))))</f>
        <v/>
      </c>
    </row>
    <row r="112" spans="3:5" x14ac:dyDescent="0.25">
      <c r="C112" s="8" t="str" cm="1">
        <f t="array" ref="C112">IF(B112="","",COUNTA(_xlfn.UNIQUE(_xlfn._xlws.FILTER(Export[store],Export[offer]='Unique Offer Titles'!B112))))</f>
        <v/>
      </c>
      <c r="D112" t="str" cm="1">
        <f t="array" ref="D112">IF(B112="","",_xlfn.TEXTJOIN(", ",TRUE,_xlfn.UNIQUE(_xlfn._xlws.FILTER(Export[[DO or Franchise Name  ]],Export[offer]='Unique Offer Titles'!B112))))</f>
        <v/>
      </c>
      <c r="E112" t="str" cm="1">
        <f t="array" ref="E112">IF(B112="","",_xlfn.TEXTJOIN(", ",TRUE,_xlfn.UNIQUE(_xlfn._xlws.FILTER(Export[store],Export[offer]='Unique Offer Titles'!B112))))</f>
        <v/>
      </c>
    </row>
    <row r="113" spans="3:5" x14ac:dyDescent="0.25">
      <c r="C113" s="8" t="str" cm="1">
        <f t="array" ref="C113">IF(B113="","",COUNTA(_xlfn.UNIQUE(_xlfn._xlws.FILTER(Export[store],Export[offer]='Unique Offer Titles'!B113))))</f>
        <v/>
      </c>
      <c r="D113" t="str" cm="1">
        <f t="array" ref="D113">IF(B113="","",_xlfn.TEXTJOIN(", ",TRUE,_xlfn.UNIQUE(_xlfn._xlws.FILTER(Export[[DO or Franchise Name  ]],Export[offer]='Unique Offer Titles'!B113))))</f>
        <v/>
      </c>
      <c r="E113" t="str" cm="1">
        <f t="array" ref="E113">IF(B113="","",_xlfn.TEXTJOIN(", ",TRUE,_xlfn.UNIQUE(_xlfn._xlws.FILTER(Export[store],Export[offer]='Unique Offer Titles'!B113))))</f>
        <v/>
      </c>
    </row>
    <row r="114" spans="3:5" x14ac:dyDescent="0.25">
      <c r="C114" s="8" t="str" cm="1">
        <f t="array" ref="C114">IF(B114="","",COUNTA(_xlfn.UNIQUE(_xlfn._xlws.FILTER(Export[store],Export[offer]='Unique Offer Titles'!B114))))</f>
        <v/>
      </c>
      <c r="D114" t="str" cm="1">
        <f t="array" ref="D114">IF(B114="","",_xlfn.TEXTJOIN(", ",TRUE,_xlfn.UNIQUE(_xlfn._xlws.FILTER(Export[[DO or Franchise Name  ]],Export[offer]='Unique Offer Titles'!B114))))</f>
        <v/>
      </c>
      <c r="E114" t="str" cm="1">
        <f t="array" ref="E114">IF(B114="","",_xlfn.TEXTJOIN(", ",TRUE,_xlfn.UNIQUE(_xlfn._xlws.FILTER(Export[store],Export[offer]='Unique Offer Titles'!B114))))</f>
        <v/>
      </c>
    </row>
    <row r="115" spans="3:5" x14ac:dyDescent="0.25">
      <c r="C115" s="8" t="str" cm="1">
        <f t="array" ref="C115">IF(B115="","",COUNTA(_xlfn.UNIQUE(_xlfn._xlws.FILTER(Export[store],Export[offer]='Unique Offer Titles'!B115))))</f>
        <v/>
      </c>
      <c r="D115" t="str" cm="1">
        <f t="array" ref="D115">IF(B115="","",_xlfn.TEXTJOIN(", ",TRUE,_xlfn.UNIQUE(_xlfn._xlws.FILTER(Export[[DO or Franchise Name  ]],Export[offer]='Unique Offer Titles'!B115))))</f>
        <v/>
      </c>
      <c r="E115" t="str" cm="1">
        <f t="array" ref="E115">IF(B115="","",_xlfn.TEXTJOIN(", ",TRUE,_xlfn.UNIQUE(_xlfn._xlws.FILTER(Export[store],Export[offer]='Unique Offer Titles'!B115))))</f>
        <v/>
      </c>
    </row>
    <row r="116" spans="3:5" x14ac:dyDescent="0.25">
      <c r="C116" s="8" t="str" cm="1">
        <f t="array" ref="C116">IF(B116="","",COUNTA(_xlfn.UNIQUE(_xlfn._xlws.FILTER(Export[store],Export[offer]='Unique Offer Titles'!B116))))</f>
        <v/>
      </c>
      <c r="D116" t="str" cm="1">
        <f t="array" ref="D116">IF(B116="","",_xlfn.TEXTJOIN(", ",TRUE,_xlfn.UNIQUE(_xlfn._xlws.FILTER(Export[[DO or Franchise Name  ]],Export[offer]='Unique Offer Titles'!B116))))</f>
        <v/>
      </c>
      <c r="E116" t="str" cm="1">
        <f t="array" ref="E116">IF(B116="","",_xlfn.TEXTJOIN(", ",TRUE,_xlfn.UNIQUE(_xlfn._xlws.FILTER(Export[store],Export[offer]='Unique Offer Titles'!B116))))</f>
        <v/>
      </c>
    </row>
    <row r="117" spans="3:5" x14ac:dyDescent="0.25">
      <c r="C117" s="8" t="str" cm="1">
        <f t="array" ref="C117">IF(B117="","",COUNTA(_xlfn.UNIQUE(_xlfn._xlws.FILTER(Export[store],Export[offer]='Unique Offer Titles'!B117))))</f>
        <v/>
      </c>
      <c r="D117" t="str" cm="1">
        <f t="array" ref="D117">IF(B117="","",_xlfn.TEXTJOIN(", ",TRUE,_xlfn.UNIQUE(_xlfn._xlws.FILTER(Export[[DO or Franchise Name  ]],Export[offer]='Unique Offer Titles'!B117))))</f>
        <v/>
      </c>
      <c r="E117" t="str" cm="1">
        <f t="array" ref="E117">IF(B117="","",_xlfn.TEXTJOIN(", ",TRUE,_xlfn.UNIQUE(_xlfn._xlws.FILTER(Export[store],Export[offer]='Unique Offer Titles'!B117))))</f>
        <v/>
      </c>
    </row>
    <row r="118" spans="3:5" x14ac:dyDescent="0.25">
      <c r="C118" s="8" t="str" cm="1">
        <f t="array" ref="C118">IF(B118="","",COUNTA(_xlfn.UNIQUE(_xlfn._xlws.FILTER(Export[store],Export[offer]='Unique Offer Titles'!B118))))</f>
        <v/>
      </c>
      <c r="D118" t="str" cm="1">
        <f t="array" ref="D118">IF(B118="","",_xlfn.TEXTJOIN(", ",TRUE,_xlfn.UNIQUE(_xlfn._xlws.FILTER(Export[[DO or Franchise Name  ]],Export[offer]='Unique Offer Titles'!B118))))</f>
        <v/>
      </c>
      <c r="E118" t="str" cm="1">
        <f t="array" ref="E118">IF(B118="","",_xlfn.TEXTJOIN(", ",TRUE,_xlfn.UNIQUE(_xlfn._xlws.FILTER(Export[store],Export[offer]='Unique Offer Titles'!B118))))</f>
        <v/>
      </c>
    </row>
    <row r="119" spans="3:5" x14ac:dyDescent="0.25">
      <c r="C119" s="8" t="str" cm="1">
        <f t="array" ref="C119">IF(B119="","",COUNTA(_xlfn.UNIQUE(_xlfn._xlws.FILTER(Export[store],Export[offer]='Unique Offer Titles'!B119))))</f>
        <v/>
      </c>
      <c r="D119" t="str" cm="1">
        <f t="array" ref="D119">IF(B119="","",_xlfn.TEXTJOIN(", ",TRUE,_xlfn.UNIQUE(_xlfn._xlws.FILTER(Export[[DO or Franchise Name  ]],Export[offer]='Unique Offer Titles'!B119))))</f>
        <v/>
      </c>
      <c r="E119" t="str" cm="1">
        <f t="array" ref="E119">IF(B119="","",_xlfn.TEXTJOIN(", ",TRUE,_xlfn.UNIQUE(_xlfn._xlws.FILTER(Export[store],Export[offer]='Unique Offer Titles'!B119))))</f>
        <v/>
      </c>
    </row>
    <row r="120" spans="3:5" x14ac:dyDescent="0.25">
      <c r="C120" s="8" t="str" cm="1">
        <f t="array" ref="C120">IF(B120="","",COUNTA(_xlfn.UNIQUE(_xlfn._xlws.FILTER(Export[store],Export[offer]='Unique Offer Titles'!B120))))</f>
        <v/>
      </c>
      <c r="D120" t="str" cm="1">
        <f t="array" ref="D120">IF(B120="","",_xlfn.TEXTJOIN(", ",TRUE,_xlfn.UNIQUE(_xlfn._xlws.FILTER(Export[[DO or Franchise Name  ]],Export[offer]='Unique Offer Titles'!B120))))</f>
        <v/>
      </c>
      <c r="E120" t="str" cm="1">
        <f t="array" ref="E120">IF(B120="","",_xlfn.TEXTJOIN(", ",TRUE,_xlfn.UNIQUE(_xlfn._xlws.FILTER(Export[store],Export[offer]='Unique Offer Titles'!B120))))</f>
        <v/>
      </c>
    </row>
    <row r="121" spans="3:5" x14ac:dyDescent="0.25">
      <c r="C121" s="8" t="str" cm="1">
        <f t="array" ref="C121">IF(B121="","",COUNTA(_xlfn.UNIQUE(_xlfn._xlws.FILTER(Export[store],Export[offer]='Unique Offer Titles'!B121))))</f>
        <v/>
      </c>
      <c r="D121" t="str" cm="1">
        <f t="array" ref="D121">IF(B121="","",_xlfn.TEXTJOIN(", ",TRUE,_xlfn.UNIQUE(_xlfn._xlws.FILTER(Export[[DO or Franchise Name  ]],Export[offer]='Unique Offer Titles'!B121))))</f>
        <v/>
      </c>
      <c r="E121" t="str" cm="1">
        <f t="array" ref="E121">IF(B121="","",_xlfn.TEXTJOIN(", ",TRUE,_xlfn.UNIQUE(_xlfn._xlws.FILTER(Export[store],Export[offer]='Unique Offer Titles'!B121))))</f>
        <v/>
      </c>
    </row>
    <row r="122" spans="3:5" x14ac:dyDescent="0.25">
      <c r="C122" s="8" t="str" cm="1">
        <f t="array" ref="C122">IF(B122="","",COUNTA(_xlfn.UNIQUE(_xlfn._xlws.FILTER(Export[store],Export[offer]='Unique Offer Titles'!B122))))</f>
        <v/>
      </c>
      <c r="D122" t="str" cm="1">
        <f t="array" ref="D122">IF(B122="","",_xlfn.TEXTJOIN(", ",TRUE,_xlfn.UNIQUE(_xlfn._xlws.FILTER(Export[[DO or Franchise Name  ]],Export[offer]='Unique Offer Titles'!B122))))</f>
        <v/>
      </c>
      <c r="E122" t="str" cm="1">
        <f t="array" ref="E122">IF(B122="","",_xlfn.TEXTJOIN(", ",TRUE,_xlfn.UNIQUE(_xlfn._xlws.FILTER(Export[store],Export[offer]='Unique Offer Titles'!B122))))</f>
        <v/>
      </c>
    </row>
    <row r="123" spans="3:5" x14ac:dyDescent="0.25">
      <c r="C123" s="8" t="str" cm="1">
        <f t="array" ref="C123">IF(B123="","",COUNTA(_xlfn.UNIQUE(_xlfn._xlws.FILTER(Export[store],Export[offer]='Unique Offer Titles'!B123))))</f>
        <v/>
      </c>
      <c r="D123" t="str" cm="1">
        <f t="array" ref="D123">IF(B123="","",_xlfn.TEXTJOIN(", ",TRUE,_xlfn.UNIQUE(_xlfn._xlws.FILTER(Export[[DO or Franchise Name  ]],Export[offer]='Unique Offer Titles'!B123))))</f>
        <v/>
      </c>
      <c r="E123" t="str" cm="1">
        <f t="array" ref="E123">IF(B123="","",_xlfn.TEXTJOIN(", ",TRUE,_xlfn.UNIQUE(_xlfn._xlws.FILTER(Export[store],Export[offer]='Unique Offer Titles'!B123))))</f>
        <v/>
      </c>
    </row>
    <row r="124" spans="3:5" x14ac:dyDescent="0.25">
      <c r="C124" s="8" t="str" cm="1">
        <f t="array" ref="C124">IF(B124="","",COUNTA(_xlfn.UNIQUE(_xlfn._xlws.FILTER(Export[store],Export[offer]='Unique Offer Titles'!B124))))</f>
        <v/>
      </c>
      <c r="D124" t="str" cm="1">
        <f t="array" ref="D124">IF(B124="","",_xlfn.TEXTJOIN(", ",TRUE,_xlfn.UNIQUE(_xlfn._xlws.FILTER(Export[[DO or Franchise Name  ]],Export[offer]='Unique Offer Titles'!B124))))</f>
        <v/>
      </c>
      <c r="E124" t="str" cm="1">
        <f t="array" ref="E124">IF(B124="","",_xlfn.TEXTJOIN(", ",TRUE,_xlfn.UNIQUE(_xlfn._xlws.FILTER(Export[store],Export[offer]='Unique Offer Titles'!B124))))</f>
        <v/>
      </c>
    </row>
    <row r="125" spans="3:5" x14ac:dyDescent="0.25">
      <c r="C125" s="8" t="str" cm="1">
        <f t="array" ref="C125">IF(B125="","",COUNTA(_xlfn.UNIQUE(_xlfn._xlws.FILTER(Export[store],Export[offer]='Unique Offer Titles'!B125))))</f>
        <v/>
      </c>
      <c r="D125" t="str" cm="1">
        <f t="array" ref="D125">IF(B125="","",_xlfn.TEXTJOIN(", ",TRUE,_xlfn.UNIQUE(_xlfn._xlws.FILTER(Export[[DO or Franchise Name  ]],Export[offer]='Unique Offer Titles'!B125))))</f>
        <v/>
      </c>
      <c r="E125" t="str" cm="1">
        <f t="array" ref="E125">IF(B125="","",_xlfn.TEXTJOIN(", ",TRUE,_xlfn.UNIQUE(_xlfn._xlws.FILTER(Export[store],Export[offer]='Unique Offer Titles'!B125))))</f>
        <v/>
      </c>
    </row>
    <row r="126" spans="3:5" x14ac:dyDescent="0.25">
      <c r="C126" s="8" t="str" cm="1">
        <f t="array" ref="C126">IF(B126="","",COUNTA(_xlfn.UNIQUE(_xlfn._xlws.FILTER(Export[store],Export[offer]='Unique Offer Titles'!B126))))</f>
        <v/>
      </c>
      <c r="D126" t="str" cm="1">
        <f t="array" ref="D126">IF(B126="","",_xlfn.TEXTJOIN(", ",TRUE,_xlfn.UNIQUE(_xlfn._xlws.FILTER(Export[[DO or Franchise Name  ]],Export[offer]='Unique Offer Titles'!B126))))</f>
        <v/>
      </c>
      <c r="E126" t="str" cm="1">
        <f t="array" ref="E126">IF(B126="","",_xlfn.TEXTJOIN(", ",TRUE,_xlfn.UNIQUE(_xlfn._xlws.FILTER(Export[store],Export[offer]='Unique Offer Titles'!B126))))</f>
        <v/>
      </c>
    </row>
    <row r="127" spans="3:5" x14ac:dyDescent="0.25">
      <c r="C127" s="8" t="str" cm="1">
        <f t="array" ref="C127">IF(B127="","",COUNTA(_xlfn.UNIQUE(_xlfn._xlws.FILTER(Export[store],Export[offer]='Unique Offer Titles'!B127))))</f>
        <v/>
      </c>
      <c r="D127" t="str" cm="1">
        <f t="array" ref="D127">IF(B127="","",_xlfn.TEXTJOIN(", ",TRUE,_xlfn.UNIQUE(_xlfn._xlws.FILTER(Export[[DO or Franchise Name  ]],Export[offer]='Unique Offer Titles'!B127))))</f>
        <v/>
      </c>
      <c r="E127" t="str" cm="1">
        <f t="array" ref="E127">IF(B127="","",_xlfn.TEXTJOIN(", ",TRUE,_xlfn.UNIQUE(_xlfn._xlws.FILTER(Export[store],Export[offer]='Unique Offer Titles'!B127))))</f>
        <v/>
      </c>
    </row>
    <row r="128" spans="3:5" x14ac:dyDescent="0.25">
      <c r="C128" s="8" t="str" cm="1">
        <f t="array" ref="C128">IF(B128="","",COUNTA(_xlfn.UNIQUE(_xlfn._xlws.FILTER(Export[store],Export[offer]='Unique Offer Titles'!B128))))</f>
        <v/>
      </c>
      <c r="D128" t="str" cm="1">
        <f t="array" ref="D128">IF(B128="","",_xlfn.TEXTJOIN(", ",TRUE,_xlfn.UNIQUE(_xlfn._xlws.FILTER(Export[[DO or Franchise Name  ]],Export[offer]='Unique Offer Titles'!B128))))</f>
        <v/>
      </c>
      <c r="E128" t="str" cm="1">
        <f t="array" ref="E128">IF(B128="","",_xlfn.TEXTJOIN(", ",TRUE,_xlfn.UNIQUE(_xlfn._xlws.FILTER(Export[store],Export[offer]='Unique Offer Titles'!B128))))</f>
        <v/>
      </c>
    </row>
    <row r="129" spans="3:5" x14ac:dyDescent="0.25">
      <c r="C129" s="8" t="str" cm="1">
        <f t="array" ref="C129">IF(B129="","",COUNTA(_xlfn.UNIQUE(_xlfn._xlws.FILTER(Export[store],Export[offer]='Unique Offer Titles'!B129))))</f>
        <v/>
      </c>
      <c r="D129" t="str" cm="1">
        <f t="array" ref="D129">IF(B129="","",_xlfn.TEXTJOIN(", ",TRUE,_xlfn.UNIQUE(_xlfn._xlws.FILTER(Export[[DO or Franchise Name  ]],Export[offer]='Unique Offer Titles'!B129))))</f>
        <v/>
      </c>
      <c r="E129" t="str" cm="1">
        <f t="array" ref="E129">IF(B129="","",_xlfn.TEXTJOIN(", ",TRUE,_xlfn.UNIQUE(_xlfn._xlws.FILTER(Export[store],Export[offer]='Unique Offer Titles'!B129))))</f>
        <v/>
      </c>
    </row>
    <row r="130" spans="3:5" x14ac:dyDescent="0.25">
      <c r="C130" s="8" t="str" cm="1">
        <f t="array" ref="C130">IF(B130="","",COUNTA(_xlfn.UNIQUE(_xlfn._xlws.FILTER(Export[store],Export[offer]='Unique Offer Titles'!B130))))</f>
        <v/>
      </c>
      <c r="D130" t="str" cm="1">
        <f t="array" ref="D130">IF(B130="","",_xlfn.TEXTJOIN(", ",TRUE,_xlfn.UNIQUE(_xlfn._xlws.FILTER(Export[[DO or Franchise Name  ]],Export[offer]='Unique Offer Titles'!B130))))</f>
        <v/>
      </c>
      <c r="E130" t="str" cm="1">
        <f t="array" ref="E130">IF(B130="","",_xlfn.TEXTJOIN(", ",TRUE,_xlfn.UNIQUE(_xlfn._xlws.FILTER(Export[store],Export[offer]='Unique Offer Titles'!B130))))</f>
        <v/>
      </c>
    </row>
    <row r="131" spans="3:5" x14ac:dyDescent="0.25">
      <c r="C131" s="8" t="str" cm="1">
        <f t="array" ref="C131">IF(B131="","",COUNTA(_xlfn.UNIQUE(_xlfn._xlws.FILTER(Export[store],Export[offer]='Unique Offer Titles'!B131))))</f>
        <v/>
      </c>
      <c r="D131" t="str" cm="1">
        <f t="array" ref="D131">IF(B131="","",_xlfn.TEXTJOIN(", ",TRUE,_xlfn.UNIQUE(_xlfn._xlws.FILTER(Export[[DO or Franchise Name  ]],Export[offer]='Unique Offer Titles'!B131))))</f>
        <v/>
      </c>
      <c r="E131" t="str" cm="1">
        <f t="array" ref="E131">IF(B131="","",_xlfn.TEXTJOIN(", ",TRUE,_xlfn.UNIQUE(_xlfn._xlws.FILTER(Export[store],Export[offer]='Unique Offer Titles'!B131))))</f>
        <v/>
      </c>
    </row>
    <row r="132" spans="3:5" x14ac:dyDescent="0.25">
      <c r="C132" s="8" t="str" cm="1">
        <f t="array" ref="C132">IF(B132="","",COUNTA(_xlfn.UNIQUE(_xlfn._xlws.FILTER(Export[store],Export[offer]='Unique Offer Titles'!B132))))</f>
        <v/>
      </c>
      <c r="D132" t="str" cm="1">
        <f t="array" ref="D132">IF(B132="","",_xlfn.TEXTJOIN(", ",TRUE,_xlfn.UNIQUE(_xlfn._xlws.FILTER(Export[[DO or Franchise Name  ]],Export[offer]='Unique Offer Titles'!B132))))</f>
        <v/>
      </c>
      <c r="E132" t="str" cm="1">
        <f t="array" ref="E132">IF(B132="","",_xlfn.TEXTJOIN(", ",TRUE,_xlfn.UNIQUE(_xlfn._xlws.FILTER(Export[store],Export[offer]='Unique Offer Titles'!B132))))</f>
        <v/>
      </c>
    </row>
    <row r="133" spans="3:5" x14ac:dyDescent="0.25">
      <c r="C133" s="8" t="str" cm="1">
        <f t="array" ref="C133">IF(B133="","",COUNTA(_xlfn.UNIQUE(_xlfn._xlws.FILTER(Export[store],Export[offer]='Unique Offer Titles'!B133))))</f>
        <v/>
      </c>
      <c r="D133" t="str" cm="1">
        <f t="array" ref="D133">IF(B133="","",_xlfn.TEXTJOIN(", ",TRUE,_xlfn.UNIQUE(_xlfn._xlws.FILTER(Export[[DO or Franchise Name  ]],Export[offer]='Unique Offer Titles'!B133))))</f>
        <v/>
      </c>
      <c r="E133" t="str" cm="1">
        <f t="array" ref="E133">IF(B133="","",_xlfn.TEXTJOIN(", ",TRUE,_xlfn.UNIQUE(_xlfn._xlws.FILTER(Export[store],Export[offer]='Unique Offer Titles'!B133))))</f>
        <v/>
      </c>
    </row>
    <row r="134" spans="3:5" x14ac:dyDescent="0.25">
      <c r="C134" s="8" t="str" cm="1">
        <f t="array" ref="C134">IF(B134="","",COUNTA(_xlfn.UNIQUE(_xlfn._xlws.FILTER(Export[store],Export[offer]='Unique Offer Titles'!B134))))</f>
        <v/>
      </c>
      <c r="D134" t="str" cm="1">
        <f t="array" ref="D134">IF(B134="","",_xlfn.TEXTJOIN(", ",TRUE,_xlfn.UNIQUE(_xlfn._xlws.FILTER(Export[[DO or Franchise Name  ]],Export[offer]='Unique Offer Titles'!B134))))</f>
        <v/>
      </c>
      <c r="E134" t="str" cm="1">
        <f t="array" ref="E134">IF(B134="","",_xlfn.TEXTJOIN(", ",TRUE,_xlfn.UNIQUE(_xlfn._xlws.FILTER(Export[store],Export[offer]='Unique Offer Titles'!B134))))</f>
        <v/>
      </c>
    </row>
    <row r="135" spans="3:5" x14ac:dyDescent="0.25">
      <c r="C135" s="8" t="str" cm="1">
        <f t="array" ref="C135">IF(B135="","",COUNTA(_xlfn.UNIQUE(_xlfn._xlws.FILTER(Export[store],Export[offer]='Unique Offer Titles'!B135))))</f>
        <v/>
      </c>
      <c r="D135" t="str" cm="1">
        <f t="array" ref="D135">IF(B135="","",_xlfn.TEXTJOIN(", ",TRUE,_xlfn.UNIQUE(_xlfn._xlws.FILTER(Export[[DO or Franchise Name  ]],Export[offer]='Unique Offer Titles'!B135))))</f>
        <v/>
      </c>
      <c r="E135" t="str" cm="1">
        <f t="array" ref="E135">IF(B135="","",_xlfn.TEXTJOIN(", ",TRUE,_xlfn.UNIQUE(_xlfn._xlws.FILTER(Export[store],Export[offer]='Unique Offer Titles'!B135))))</f>
        <v/>
      </c>
    </row>
    <row r="136" spans="3:5" x14ac:dyDescent="0.25">
      <c r="C136" s="8" t="str" cm="1">
        <f t="array" ref="C136">IF(B136="","",COUNTA(_xlfn.UNIQUE(_xlfn._xlws.FILTER(Export[store],Export[offer]='Unique Offer Titles'!B136))))</f>
        <v/>
      </c>
      <c r="D136" t="str" cm="1">
        <f t="array" ref="D136">IF(B136="","",_xlfn.TEXTJOIN(", ",TRUE,_xlfn.UNIQUE(_xlfn._xlws.FILTER(Export[[DO or Franchise Name  ]],Export[offer]='Unique Offer Titles'!B136))))</f>
        <v/>
      </c>
      <c r="E136" t="str" cm="1">
        <f t="array" ref="E136">IF(B136="","",_xlfn.TEXTJOIN(", ",TRUE,_xlfn.UNIQUE(_xlfn._xlws.FILTER(Export[store],Export[offer]='Unique Offer Titles'!B136))))</f>
        <v/>
      </c>
    </row>
    <row r="137" spans="3:5" x14ac:dyDescent="0.25">
      <c r="C137" s="8" t="str" cm="1">
        <f t="array" ref="C137">IF(B137="","",COUNTA(_xlfn.UNIQUE(_xlfn._xlws.FILTER(Export[store],Export[offer]='Unique Offer Titles'!B137))))</f>
        <v/>
      </c>
      <c r="D137" t="str" cm="1">
        <f t="array" ref="D137">IF(B137="","",_xlfn.TEXTJOIN(", ",TRUE,_xlfn.UNIQUE(_xlfn._xlws.FILTER(Export[[DO or Franchise Name  ]],Export[offer]='Unique Offer Titles'!B137))))</f>
        <v/>
      </c>
      <c r="E137" t="str" cm="1">
        <f t="array" ref="E137">IF(B137="","",_xlfn.TEXTJOIN(", ",TRUE,_xlfn.UNIQUE(_xlfn._xlws.FILTER(Export[store],Export[offer]='Unique Offer Titles'!B137))))</f>
        <v/>
      </c>
    </row>
    <row r="138" spans="3:5" x14ac:dyDescent="0.25">
      <c r="C138" s="8" t="str" cm="1">
        <f t="array" ref="C138">IF(B138="","",COUNTA(_xlfn.UNIQUE(_xlfn._xlws.FILTER(Export[store],Export[offer]='Unique Offer Titles'!B138))))</f>
        <v/>
      </c>
      <c r="D138" t="str" cm="1">
        <f t="array" ref="D138">IF(B138="","",_xlfn.TEXTJOIN(", ",TRUE,_xlfn.UNIQUE(_xlfn._xlws.FILTER(Export[[DO or Franchise Name  ]],Export[offer]='Unique Offer Titles'!B138))))</f>
        <v/>
      </c>
      <c r="E138" t="str" cm="1">
        <f t="array" ref="E138">IF(B138="","",_xlfn.TEXTJOIN(", ",TRUE,_xlfn.UNIQUE(_xlfn._xlws.FILTER(Export[store],Export[offer]='Unique Offer Titles'!B138))))</f>
        <v/>
      </c>
    </row>
    <row r="139" spans="3:5" x14ac:dyDescent="0.25">
      <c r="C139" s="8" t="str" cm="1">
        <f t="array" ref="C139">IF(B139="","",COUNTA(_xlfn.UNIQUE(_xlfn._xlws.FILTER(Export[store],Export[offer]='Unique Offer Titles'!B139))))</f>
        <v/>
      </c>
      <c r="D139" t="str" cm="1">
        <f t="array" ref="D139">IF(B139="","",_xlfn.TEXTJOIN(", ",TRUE,_xlfn.UNIQUE(_xlfn._xlws.FILTER(Export[[DO or Franchise Name  ]],Export[offer]='Unique Offer Titles'!B139))))</f>
        <v/>
      </c>
      <c r="E139" t="str" cm="1">
        <f t="array" ref="E139">IF(B139="","",_xlfn.TEXTJOIN(", ",TRUE,_xlfn.UNIQUE(_xlfn._xlws.FILTER(Export[store],Export[offer]='Unique Offer Titles'!B139))))</f>
        <v/>
      </c>
    </row>
    <row r="140" spans="3:5" x14ac:dyDescent="0.25">
      <c r="C140" s="8" t="str" cm="1">
        <f t="array" ref="C140">IF(B140="","",COUNTA(_xlfn.UNIQUE(_xlfn._xlws.FILTER(Export[store],Export[offer]='Unique Offer Titles'!B140))))</f>
        <v/>
      </c>
      <c r="D140" t="str" cm="1">
        <f t="array" ref="D140">IF(B140="","",_xlfn.TEXTJOIN(", ",TRUE,_xlfn.UNIQUE(_xlfn._xlws.FILTER(Export[[DO or Franchise Name  ]],Export[offer]='Unique Offer Titles'!B140))))</f>
        <v/>
      </c>
      <c r="E140" t="str" cm="1">
        <f t="array" ref="E140">IF(B140="","",_xlfn.TEXTJOIN(", ",TRUE,_xlfn.UNIQUE(_xlfn._xlws.FILTER(Export[store],Export[offer]='Unique Offer Titles'!B140))))</f>
        <v/>
      </c>
    </row>
    <row r="141" spans="3:5" x14ac:dyDescent="0.25">
      <c r="C141" s="8" t="str" cm="1">
        <f t="array" ref="C141">IF(B141="","",COUNTA(_xlfn.UNIQUE(_xlfn._xlws.FILTER(Export[store],Export[offer]='Unique Offer Titles'!B141))))</f>
        <v/>
      </c>
      <c r="D141" t="str" cm="1">
        <f t="array" ref="D141">IF(B141="","",_xlfn.TEXTJOIN(", ",TRUE,_xlfn.UNIQUE(_xlfn._xlws.FILTER(Export[[DO or Franchise Name  ]],Export[offer]='Unique Offer Titles'!B141))))</f>
        <v/>
      </c>
      <c r="E141" t="str" cm="1">
        <f t="array" ref="E141">IF(B141="","",_xlfn.TEXTJOIN(", ",TRUE,_xlfn.UNIQUE(_xlfn._xlws.FILTER(Export[store],Export[offer]='Unique Offer Titles'!B141))))</f>
        <v/>
      </c>
    </row>
    <row r="142" spans="3:5" x14ac:dyDescent="0.25">
      <c r="C142" s="8" t="str" cm="1">
        <f t="array" ref="C142">IF(B142="","",COUNTA(_xlfn.UNIQUE(_xlfn._xlws.FILTER(Export[store],Export[offer]='Unique Offer Titles'!B142))))</f>
        <v/>
      </c>
      <c r="D142" t="str" cm="1">
        <f t="array" ref="D142">IF(B142="","",_xlfn.TEXTJOIN(", ",TRUE,_xlfn.UNIQUE(_xlfn._xlws.FILTER(Export[[DO or Franchise Name  ]],Export[offer]='Unique Offer Titles'!B142))))</f>
        <v/>
      </c>
      <c r="E142" t="str" cm="1">
        <f t="array" ref="E142">IF(B142="","",_xlfn.TEXTJOIN(", ",TRUE,_xlfn.UNIQUE(_xlfn._xlws.FILTER(Export[store],Export[offer]='Unique Offer Titles'!B142))))</f>
        <v/>
      </c>
    </row>
    <row r="143" spans="3:5" x14ac:dyDescent="0.25">
      <c r="C143" s="8" t="str" cm="1">
        <f t="array" ref="C143">IF(B143="","",COUNTA(_xlfn.UNIQUE(_xlfn._xlws.FILTER(Export[store],Export[offer]='Unique Offer Titles'!B143))))</f>
        <v/>
      </c>
      <c r="D143" t="str" cm="1">
        <f t="array" ref="D143">IF(B143="","",_xlfn.TEXTJOIN(", ",TRUE,_xlfn.UNIQUE(_xlfn._xlws.FILTER(Export[[DO or Franchise Name  ]],Export[offer]='Unique Offer Titles'!B143))))</f>
        <v/>
      </c>
      <c r="E143" t="str" cm="1">
        <f t="array" ref="E143">IF(B143="","",_xlfn.TEXTJOIN(", ",TRUE,_xlfn.UNIQUE(_xlfn._xlws.FILTER(Export[store],Export[offer]='Unique Offer Titles'!B143))))</f>
        <v/>
      </c>
    </row>
    <row r="144" spans="3:5" x14ac:dyDescent="0.25">
      <c r="C144" s="8" t="str" cm="1">
        <f t="array" ref="C144">IF(B144="","",COUNTA(_xlfn.UNIQUE(_xlfn._xlws.FILTER(Export[store],Export[offer]='Unique Offer Titles'!B144))))</f>
        <v/>
      </c>
      <c r="D144" t="str" cm="1">
        <f t="array" ref="D144">IF(B144="","",_xlfn.TEXTJOIN(", ",TRUE,_xlfn.UNIQUE(_xlfn._xlws.FILTER(Export[[DO or Franchise Name  ]],Export[offer]='Unique Offer Titles'!B144))))</f>
        <v/>
      </c>
      <c r="E144" t="str" cm="1">
        <f t="array" ref="E144">IF(B144="","",_xlfn.TEXTJOIN(", ",TRUE,_xlfn.UNIQUE(_xlfn._xlws.FILTER(Export[store],Export[offer]='Unique Offer Titles'!B144))))</f>
        <v/>
      </c>
    </row>
    <row r="145" spans="3:5" x14ac:dyDescent="0.25">
      <c r="C145" s="8" t="str" cm="1">
        <f t="array" ref="C145">IF(B145="","",COUNTA(_xlfn.UNIQUE(_xlfn._xlws.FILTER(Export[store],Export[offer]='Unique Offer Titles'!B145))))</f>
        <v/>
      </c>
      <c r="D145" t="str" cm="1">
        <f t="array" ref="D145">IF(B145="","",_xlfn.TEXTJOIN(", ",TRUE,_xlfn.UNIQUE(_xlfn._xlws.FILTER(Export[[DO or Franchise Name  ]],Export[offer]='Unique Offer Titles'!B145))))</f>
        <v/>
      </c>
      <c r="E145" t="str" cm="1">
        <f t="array" ref="E145">IF(B145="","",_xlfn.TEXTJOIN(", ",TRUE,_xlfn.UNIQUE(_xlfn._xlws.FILTER(Export[store],Export[offer]='Unique Offer Titles'!B145))))</f>
        <v/>
      </c>
    </row>
    <row r="146" spans="3:5" x14ac:dyDescent="0.25">
      <c r="C146" s="8" t="str" cm="1">
        <f t="array" ref="C146">IF(B146="","",COUNTA(_xlfn.UNIQUE(_xlfn._xlws.FILTER(Export[store],Export[offer]='Unique Offer Titles'!B146))))</f>
        <v/>
      </c>
      <c r="D146" t="str" cm="1">
        <f t="array" ref="D146">IF(B146="","",_xlfn.TEXTJOIN(", ",TRUE,_xlfn.UNIQUE(_xlfn._xlws.FILTER(Export[[DO or Franchise Name  ]],Export[offer]='Unique Offer Titles'!B146))))</f>
        <v/>
      </c>
      <c r="E146" t="str" cm="1">
        <f t="array" ref="E146">IF(B146="","",_xlfn.TEXTJOIN(", ",TRUE,_xlfn.UNIQUE(_xlfn._xlws.FILTER(Export[store],Export[offer]='Unique Offer Titles'!B146))))</f>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662CF-55B2-4CAD-8F52-3F0B1449FEC1}">
  <sheetPr codeName="Sheet2"/>
  <dimension ref="A1:G414"/>
  <sheetViews>
    <sheetView workbookViewId="0"/>
  </sheetViews>
  <sheetFormatPr defaultRowHeight="15" x14ac:dyDescent="0.25"/>
  <cols>
    <col min="1" max="1" width="14.5703125" bestFit="1" customWidth="1"/>
    <col min="2" max="2" width="22.85546875" bestFit="1" customWidth="1"/>
    <col min="3" max="3" width="7.42578125" bestFit="1" customWidth="1"/>
    <col min="4" max="4" width="40.28515625" bestFit="1" customWidth="1"/>
    <col min="5" max="5" width="80.85546875" bestFit="1" customWidth="1"/>
    <col min="6" max="6" width="7.28515625" bestFit="1" customWidth="1"/>
    <col min="7" max="7" width="11" bestFit="1" customWidth="1"/>
  </cols>
  <sheetData>
    <row r="1" spans="1:7" x14ac:dyDescent="0.25">
      <c r="A1" t="s">
        <v>0</v>
      </c>
      <c r="B1" t="s">
        <v>1</v>
      </c>
      <c r="C1" t="s">
        <v>2</v>
      </c>
      <c r="D1" t="s">
        <v>3</v>
      </c>
      <c r="E1" t="s">
        <v>4</v>
      </c>
      <c r="F1" t="s">
        <v>5</v>
      </c>
      <c r="G1" t="s">
        <v>12</v>
      </c>
    </row>
    <row r="2" spans="1:7" x14ac:dyDescent="0.25">
      <c r="B2" t="str">
        <f>_xlfn.XLOOKUP(Export[[#This Row],[store]],Table2[store '#],Table2[Franchise])</f>
        <v>Portland</v>
      </c>
      <c r="C2">
        <v>1740</v>
      </c>
      <c r="D2" t="s">
        <v>18</v>
      </c>
      <c r="E2" t="s">
        <v>19</v>
      </c>
      <c r="F2" s="5">
        <v>13.99</v>
      </c>
      <c r="G2" s="5">
        <v>13.99</v>
      </c>
    </row>
    <row r="3" spans="1:7" x14ac:dyDescent="0.25">
      <c r="B3" t="str">
        <f>_xlfn.XLOOKUP(Export[[#This Row],[store]],Table2[store '#],Table2[Franchise])</f>
        <v>Portland</v>
      </c>
      <c r="C3">
        <v>1740</v>
      </c>
      <c r="D3" t="s">
        <v>20</v>
      </c>
      <c r="E3" t="s">
        <v>21</v>
      </c>
      <c r="F3" s="5">
        <v>4.99</v>
      </c>
      <c r="G3" s="5">
        <v>4.99</v>
      </c>
    </row>
    <row r="4" spans="1:7" x14ac:dyDescent="0.25">
      <c r="B4" t="str">
        <f>_xlfn.XLOOKUP(Export[[#This Row],[store]],Table2[store '#],Table2[Franchise])</f>
        <v>Portland</v>
      </c>
      <c r="C4">
        <v>1740</v>
      </c>
      <c r="D4" t="s">
        <v>6</v>
      </c>
      <c r="E4" t="s">
        <v>7</v>
      </c>
      <c r="F4" s="5">
        <v>6.99</v>
      </c>
      <c r="G4" s="5">
        <v>6.99</v>
      </c>
    </row>
    <row r="5" spans="1:7" x14ac:dyDescent="0.25">
      <c r="B5" t="str">
        <f>_xlfn.XLOOKUP(Export[[#This Row],[store]],Table2[store '#],Table2[Franchise])</f>
        <v>Portland</v>
      </c>
      <c r="C5">
        <v>1740</v>
      </c>
      <c r="D5" t="s">
        <v>22</v>
      </c>
      <c r="E5" t="s">
        <v>23</v>
      </c>
      <c r="F5" s="5">
        <v>9.99</v>
      </c>
      <c r="G5" s="5">
        <v>9.99</v>
      </c>
    </row>
    <row r="6" spans="1:7" x14ac:dyDescent="0.25">
      <c r="B6" t="str">
        <f>_xlfn.XLOOKUP(Export[[#This Row],[store]],Table2[store '#],Table2[Franchise])</f>
        <v>Portland</v>
      </c>
      <c r="C6">
        <v>1740</v>
      </c>
      <c r="D6" t="s">
        <v>24</v>
      </c>
      <c r="E6" t="s">
        <v>25</v>
      </c>
      <c r="F6" s="5">
        <v>12.99</v>
      </c>
      <c r="G6" s="5">
        <v>12.99</v>
      </c>
    </row>
    <row r="7" spans="1:7" x14ac:dyDescent="0.25">
      <c r="B7" t="str">
        <f>_xlfn.XLOOKUP(Export[[#This Row],[store]],Table2[store '#],Table2[Franchise])</f>
        <v>Portland</v>
      </c>
      <c r="C7">
        <v>1740</v>
      </c>
      <c r="D7" t="s">
        <v>46</v>
      </c>
      <c r="E7" t="s">
        <v>47</v>
      </c>
      <c r="F7" s="5">
        <v>14.99</v>
      </c>
      <c r="G7" s="5">
        <v>14.99</v>
      </c>
    </row>
    <row r="8" spans="1:7" x14ac:dyDescent="0.25">
      <c r="B8" t="str">
        <f>_xlfn.XLOOKUP(Export[[#This Row],[store]],Table2[store '#],Table2[Franchise])</f>
        <v>Portland</v>
      </c>
      <c r="C8">
        <v>1740</v>
      </c>
      <c r="D8" t="s">
        <v>26</v>
      </c>
      <c r="E8" t="s">
        <v>27</v>
      </c>
      <c r="F8" s="5">
        <v>15.99</v>
      </c>
      <c r="G8" s="5">
        <v>15.99</v>
      </c>
    </row>
    <row r="9" spans="1:7" x14ac:dyDescent="0.25">
      <c r="B9" t="str">
        <f>_xlfn.XLOOKUP(Export[[#This Row],[store]],Table2[store '#],Table2[Franchise])</f>
        <v>Portland</v>
      </c>
      <c r="C9">
        <v>1740</v>
      </c>
      <c r="D9" t="s">
        <v>28</v>
      </c>
      <c r="E9" t="s">
        <v>29</v>
      </c>
      <c r="F9" s="6">
        <v>10</v>
      </c>
      <c r="G9" s="6">
        <v>10</v>
      </c>
    </row>
    <row r="10" spans="1:7" x14ac:dyDescent="0.25">
      <c r="B10" t="str">
        <f>_xlfn.XLOOKUP(Export[[#This Row],[store]],Table2[store '#],Table2[Franchise])</f>
        <v>Portland</v>
      </c>
      <c r="C10">
        <v>1740</v>
      </c>
      <c r="D10" t="s">
        <v>32</v>
      </c>
      <c r="E10" t="s">
        <v>48</v>
      </c>
      <c r="F10" s="5">
        <v>18.989999999999998</v>
      </c>
      <c r="G10" s="5">
        <v>18.989999999999998</v>
      </c>
    </row>
    <row r="11" spans="1:7" x14ac:dyDescent="0.25">
      <c r="B11" t="str">
        <f>_xlfn.XLOOKUP(Export[[#This Row],[store]],Table2[store '#],Table2[Franchise])</f>
        <v>Portland</v>
      </c>
      <c r="C11">
        <v>1740</v>
      </c>
      <c r="D11" t="s">
        <v>49</v>
      </c>
      <c r="E11" t="s">
        <v>50</v>
      </c>
      <c r="F11" s="5">
        <v>9.99</v>
      </c>
      <c r="G11" s="5">
        <v>9.99</v>
      </c>
    </row>
    <row r="12" spans="1:7" x14ac:dyDescent="0.25">
      <c r="B12" t="str">
        <f>_xlfn.XLOOKUP(Export[[#This Row],[store]],Table2[store '#],Table2[Franchise])</f>
        <v>Portland</v>
      </c>
      <c r="C12">
        <v>1740</v>
      </c>
      <c r="D12" t="s">
        <v>51</v>
      </c>
      <c r="E12" t="s">
        <v>52</v>
      </c>
      <c r="F12" s="5">
        <v>13.99</v>
      </c>
      <c r="G12" s="5">
        <v>13.99</v>
      </c>
    </row>
    <row r="13" spans="1:7" x14ac:dyDescent="0.25">
      <c r="B13" t="str">
        <f>_xlfn.XLOOKUP(Export[[#This Row],[store]],Table2[store '#],Table2[Franchise])</f>
        <v>Portland</v>
      </c>
      <c r="C13">
        <v>1740</v>
      </c>
      <c r="D13" t="s">
        <v>53</v>
      </c>
      <c r="E13" t="s">
        <v>54</v>
      </c>
      <c r="F13" s="5">
        <v>17.989999999999998</v>
      </c>
      <c r="G13" s="5">
        <v>17.989999999999998</v>
      </c>
    </row>
    <row r="14" spans="1:7" x14ac:dyDescent="0.25">
      <c r="B14" t="str">
        <f>_xlfn.XLOOKUP(Export[[#This Row],[store]],Table2[store '#],Table2[Franchise])</f>
        <v>Portland</v>
      </c>
      <c r="C14">
        <v>1740</v>
      </c>
      <c r="D14" t="s">
        <v>55</v>
      </c>
      <c r="E14" t="s">
        <v>56</v>
      </c>
      <c r="F14" s="5">
        <v>25.98</v>
      </c>
      <c r="G14" s="5">
        <v>25.98</v>
      </c>
    </row>
    <row r="15" spans="1:7" x14ac:dyDescent="0.25">
      <c r="B15" t="str">
        <f>_xlfn.XLOOKUP(Export[[#This Row],[store]],Table2[store '#],Table2[Franchise])</f>
        <v>Portland</v>
      </c>
      <c r="C15">
        <v>1740</v>
      </c>
      <c r="D15" t="s">
        <v>36</v>
      </c>
      <c r="E15" t="s">
        <v>37</v>
      </c>
      <c r="F15" s="5">
        <v>15.99</v>
      </c>
      <c r="G15" s="5">
        <v>15.99</v>
      </c>
    </row>
    <row r="16" spans="1:7" x14ac:dyDescent="0.25">
      <c r="B16" t="str">
        <f>_xlfn.XLOOKUP(Export[[#This Row],[store]],Table2[store '#],Table2[Franchise])</f>
        <v>Portland</v>
      </c>
      <c r="C16">
        <v>1740</v>
      </c>
      <c r="D16" t="s">
        <v>38</v>
      </c>
      <c r="E16" t="s">
        <v>39</v>
      </c>
      <c r="F16" s="5">
        <v>29.99</v>
      </c>
      <c r="G16" s="5">
        <v>29.99</v>
      </c>
    </row>
    <row r="17" spans="2:7" x14ac:dyDescent="0.25">
      <c r="B17" t="str">
        <f>_xlfn.XLOOKUP(Export[[#This Row],[store]],Table2[store '#],Table2[Franchise])</f>
        <v>Portland</v>
      </c>
      <c r="C17">
        <v>1740</v>
      </c>
      <c r="D17" t="s">
        <v>57</v>
      </c>
      <c r="E17" t="s">
        <v>58</v>
      </c>
      <c r="F17" s="5">
        <v>20.99</v>
      </c>
      <c r="G17" s="5">
        <v>20.99</v>
      </c>
    </row>
    <row r="18" spans="2:7" x14ac:dyDescent="0.25">
      <c r="B18" t="str">
        <f>_xlfn.XLOOKUP(Export[[#This Row],[store]],Table2[store '#],Table2[Franchise])</f>
        <v>Portland</v>
      </c>
      <c r="C18">
        <v>1740</v>
      </c>
      <c r="D18" t="s">
        <v>40</v>
      </c>
      <c r="E18" t="s">
        <v>41</v>
      </c>
      <c r="F18" s="5">
        <v>14.99</v>
      </c>
      <c r="G18" s="5">
        <v>14.99</v>
      </c>
    </row>
    <row r="19" spans="2:7" x14ac:dyDescent="0.25">
      <c r="B19" t="str">
        <f>_xlfn.XLOOKUP(Export[[#This Row],[store]],Table2[store '#],Table2[Franchise])</f>
        <v>Portland</v>
      </c>
      <c r="C19">
        <v>1743</v>
      </c>
      <c r="D19" t="s">
        <v>18</v>
      </c>
      <c r="E19" t="s">
        <v>19</v>
      </c>
      <c r="F19" s="5">
        <v>13.99</v>
      </c>
      <c r="G19" s="5">
        <v>13.99</v>
      </c>
    </row>
    <row r="20" spans="2:7" x14ac:dyDescent="0.25">
      <c r="B20" t="str">
        <f>_xlfn.XLOOKUP(Export[[#This Row],[store]],Table2[store '#],Table2[Franchise])</f>
        <v>Portland</v>
      </c>
      <c r="C20">
        <v>1743</v>
      </c>
      <c r="D20" t="s">
        <v>20</v>
      </c>
      <c r="E20" t="s">
        <v>21</v>
      </c>
      <c r="F20" s="5">
        <v>4.99</v>
      </c>
      <c r="G20" s="5">
        <v>4.99</v>
      </c>
    </row>
    <row r="21" spans="2:7" x14ac:dyDescent="0.25">
      <c r="B21" t="str">
        <f>_xlfn.XLOOKUP(Export[[#This Row],[store]],Table2[store '#],Table2[Franchise])</f>
        <v>Portland</v>
      </c>
      <c r="C21">
        <v>1743</v>
      </c>
      <c r="D21" t="s">
        <v>6</v>
      </c>
      <c r="E21" t="s">
        <v>7</v>
      </c>
      <c r="F21" s="5">
        <v>6.99</v>
      </c>
      <c r="G21" s="5">
        <v>6.99</v>
      </c>
    </row>
    <row r="22" spans="2:7" x14ac:dyDescent="0.25">
      <c r="B22" t="str">
        <f>_xlfn.XLOOKUP(Export[[#This Row],[store]],Table2[store '#],Table2[Franchise])</f>
        <v>Portland</v>
      </c>
      <c r="C22">
        <v>1743</v>
      </c>
      <c r="D22" t="s">
        <v>22</v>
      </c>
      <c r="E22" t="s">
        <v>23</v>
      </c>
      <c r="F22" s="5">
        <v>9.99</v>
      </c>
      <c r="G22" s="5">
        <v>9.99</v>
      </c>
    </row>
    <row r="23" spans="2:7" x14ac:dyDescent="0.25">
      <c r="B23" t="str">
        <f>_xlfn.XLOOKUP(Export[[#This Row],[store]],Table2[store '#],Table2[Franchise])</f>
        <v>Portland</v>
      </c>
      <c r="C23">
        <v>1743</v>
      </c>
      <c r="D23" t="s">
        <v>24</v>
      </c>
      <c r="E23" t="s">
        <v>25</v>
      </c>
      <c r="F23" s="5">
        <v>12.99</v>
      </c>
      <c r="G23" s="5">
        <v>12.99</v>
      </c>
    </row>
    <row r="24" spans="2:7" x14ac:dyDescent="0.25">
      <c r="B24" t="str">
        <f>_xlfn.XLOOKUP(Export[[#This Row],[store]],Table2[store '#],Table2[Franchise])</f>
        <v>Portland</v>
      </c>
      <c r="C24">
        <v>1743</v>
      </c>
      <c r="D24" t="s">
        <v>46</v>
      </c>
      <c r="E24" t="s">
        <v>47</v>
      </c>
      <c r="F24" s="5">
        <v>14.99</v>
      </c>
      <c r="G24" s="5">
        <v>14.99</v>
      </c>
    </row>
    <row r="25" spans="2:7" x14ac:dyDescent="0.25">
      <c r="B25" t="str">
        <f>_xlfn.XLOOKUP(Export[[#This Row],[store]],Table2[store '#],Table2[Franchise])</f>
        <v>Portland</v>
      </c>
      <c r="C25">
        <v>1743</v>
      </c>
      <c r="D25" t="s">
        <v>26</v>
      </c>
      <c r="E25" t="s">
        <v>27</v>
      </c>
      <c r="F25" s="5">
        <v>15.99</v>
      </c>
      <c r="G25" s="5">
        <v>15.99</v>
      </c>
    </row>
    <row r="26" spans="2:7" x14ac:dyDescent="0.25">
      <c r="B26" t="str">
        <f>_xlfn.XLOOKUP(Export[[#This Row],[store]],Table2[store '#],Table2[Franchise])</f>
        <v>Portland</v>
      </c>
      <c r="C26">
        <v>1743</v>
      </c>
      <c r="D26" t="s">
        <v>28</v>
      </c>
      <c r="E26" t="s">
        <v>29</v>
      </c>
      <c r="F26" s="6">
        <v>10</v>
      </c>
      <c r="G26" s="6">
        <v>10</v>
      </c>
    </row>
    <row r="27" spans="2:7" x14ac:dyDescent="0.25">
      <c r="B27" t="str">
        <f>_xlfn.XLOOKUP(Export[[#This Row],[store]],Table2[store '#],Table2[Franchise])</f>
        <v>Portland</v>
      </c>
      <c r="C27">
        <v>1743</v>
      </c>
      <c r="D27" t="s">
        <v>32</v>
      </c>
      <c r="E27" t="s">
        <v>48</v>
      </c>
      <c r="F27" s="5">
        <v>18.989999999999998</v>
      </c>
      <c r="G27" s="5">
        <v>18.989999999999998</v>
      </c>
    </row>
    <row r="28" spans="2:7" x14ac:dyDescent="0.25">
      <c r="B28" t="str">
        <f>_xlfn.XLOOKUP(Export[[#This Row],[store]],Table2[store '#],Table2[Franchise])</f>
        <v>Portland</v>
      </c>
      <c r="C28">
        <v>1743</v>
      </c>
      <c r="D28" t="s">
        <v>49</v>
      </c>
      <c r="E28" t="s">
        <v>50</v>
      </c>
      <c r="F28" s="5">
        <v>9.99</v>
      </c>
      <c r="G28" s="5">
        <v>9.99</v>
      </c>
    </row>
    <row r="29" spans="2:7" x14ac:dyDescent="0.25">
      <c r="B29" t="str">
        <f>_xlfn.XLOOKUP(Export[[#This Row],[store]],Table2[store '#],Table2[Franchise])</f>
        <v>Portland</v>
      </c>
      <c r="C29">
        <v>1743</v>
      </c>
      <c r="D29" t="s">
        <v>51</v>
      </c>
      <c r="E29" t="s">
        <v>52</v>
      </c>
      <c r="F29" s="5">
        <v>13.99</v>
      </c>
      <c r="G29" s="5">
        <v>13.99</v>
      </c>
    </row>
    <row r="30" spans="2:7" x14ac:dyDescent="0.25">
      <c r="B30" t="str">
        <f>_xlfn.XLOOKUP(Export[[#This Row],[store]],Table2[store '#],Table2[Franchise])</f>
        <v>Portland</v>
      </c>
      <c r="C30">
        <v>1743</v>
      </c>
      <c r="D30" t="s">
        <v>53</v>
      </c>
      <c r="E30" t="s">
        <v>54</v>
      </c>
      <c r="F30" s="5">
        <v>17.989999999999998</v>
      </c>
      <c r="G30" s="5">
        <v>17.989999999999998</v>
      </c>
    </row>
    <row r="31" spans="2:7" x14ac:dyDescent="0.25">
      <c r="B31" t="str">
        <f>_xlfn.XLOOKUP(Export[[#This Row],[store]],Table2[store '#],Table2[Franchise])</f>
        <v>Portland</v>
      </c>
      <c r="C31">
        <v>1743</v>
      </c>
      <c r="D31" t="s">
        <v>55</v>
      </c>
      <c r="E31" t="s">
        <v>56</v>
      </c>
      <c r="F31" s="5">
        <v>25.98</v>
      </c>
      <c r="G31" s="5">
        <v>25.98</v>
      </c>
    </row>
    <row r="32" spans="2:7" x14ac:dyDescent="0.25">
      <c r="B32" t="str">
        <f>_xlfn.XLOOKUP(Export[[#This Row],[store]],Table2[store '#],Table2[Franchise])</f>
        <v>Portland</v>
      </c>
      <c r="C32">
        <v>1743</v>
      </c>
      <c r="D32" t="s">
        <v>36</v>
      </c>
      <c r="E32" t="s">
        <v>37</v>
      </c>
      <c r="F32" s="5">
        <v>15.99</v>
      </c>
      <c r="G32" s="5">
        <v>15.99</v>
      </c>
    </row>
    <row r="33" spans="2:7" x14ac:dyDescent="0.25">
      <c r="B33" t="str">
        <f>_xlfn.XLOOKUP(Export[[#This Row],[store]],Table2[store '#],Table2[Franchise])</f>
        <v>Portland</v>
      </c>
      <c r="C33">
        <v>1743</v>
      </c>
      <c r="D33" t="s">
        <v>38</v>
      </c>
      <c r="E33" t="s">
        <v>39</v>
      </c>
      <c r="F33" s="5">
        <v>29.99</v>
      </c>
      <c r="G33" s="5">
        <v>29.99</v>
      </c>
    </row>
    <row r="34" spans="2:7" x14ac:dyDescent="0.25">
      <c r="B34" t="str">
        <f>_xlfn.XLOOKUP(Export[[#This Row],[store]],Table2[store '#],Table2[Franchise])</f>
        <v>Portland</v>
      </c>
      <c r="C34">
        <v>1743</v>
      </c>
      <c r="D34" t="s">
        <v>57</v>
      </c>
      <c r="E34" t="s">
        <v>58</v>
      </c>
      <c r="F34" s="5">
        <v>20.99</v>
      </c>
      <c r="G34" s="5">
        <v>20.99</v>
      </c>
    </row>
    <row r="35" spans="2:7" x14ac:dyDescent="0.25">
      <c r="B35" t="str">
        <f>_xlfn.XLOOKUP(Export[[#This Row],[store]],Table2[store '#],Table2[Franchise])</f>
        <v>Portland</v>
      </c>
      <c r="C35">
        <v>1743</v>
      </c>
      <c r="D35" t="s">
        <v>40</v>
      </c>
      <c r="E35" t="s">
        <v>41</v>
      </c>
      <c r="F35" s="5">
        <v>14.99</v>
      </c>
      <c r="G35" s="5">
        <v>14.99</v>
      </c>
    </row>
    <row r="36" spans="2:7" x14ac:dyDescent="0.25">
      <c r="B36" t="str">
        <f>_xlfn.XLOOKUP(Export[[#This Row],[store]],Table2[store '#],Table2[Franchise])</f>
        <v>Portland</v>
      </c>
      <c r="C36">
        <v>2172</v>
      </c>
      <c r="D36" t="s">
        <v>18</v>
      </c>
      <c r="E36" t="s">
        <v>19</v>
      </c>
      <c r="F36" s="5">
        <v>13.99</v>
      </c>
      <c r="G36" s="5">
        <v>13.99</v>
      </c>
    </row>
    <row r="37" spans="2:7" x14ac:dyDescent="0.25">
      <c r="B37" t="str">
        <f>_xlfn.XLOOKUP(Export[[#This Row],[store]],Table2[store '#],Table2[Franchise])</f>
        <v>Portland</v>
      </c>
      <c r="C37">
        <v>2172</v>
      </c>
      <c r="D37" t="s">
        <v>20</v>
      </c>
      <c r="E37" t="s">
        <v>21</v>
      </c>
      <c r="F37" s="5">
        <v>4.99</v>
      </c>
      <c r="G37" s="5">
        <v>4.99</v>
      </c>
    </row>
    <row r="38" spans="2:7" x14ac:dyDescent="0.25">
      <c r="B38" t="str">
        <f>_xlfn.XLOOKUP(Export[[#This Row],[store]],Table2[store '#],Table2[Franchise])</f>
        <v>Portland</v>
      </c>
      <c r="C38">
        <v>2172</v>
      </c>
      <c r="D38" t="s">
        <v>6</v>
      </c>
      <c r="E38" t="s">
        <v>7</v>
      </c>
      <c r="F38" s="5">
        <v>6.99</v>
      </c>
      <c r="G38" s="5">
        <v>6.99</v>
      </c>
    </row>
    <row r="39" spans="2:7" x14ac:dyDescent="0.25">
      <c r="B39" t="str">
        <f>_xlfn.XLOOKUP(Export[[#This Row],[store]],Table2[store '#],Table2[Franchise])</f>
        <v>Portland</v>
      </c>
      <c r="C39">
        <v>2172</v>
      </c>
      <c r="D39" t="s">
        <v>22</v>
      </c>
      <c r="E39" t="s">
        <v>23</v>
      </c>
      <c r="F39" s="5">
        <v>9.99</v>
      </c>
      <c r="G39" s="5">
        <v>9.99</v>
      </c>
    </row>
    <row r="40" spans="2:7" x14ac:dyDescent="0.25">
      <c r="B40" t="str">
        <f>_xlfn.XLOOKUP(Export[[#This Row],[store]],Table2[store '#],Table2[Franchise])</f>
        <v>Portland</v>
      </c>
      <c r="C40">
        <v>2172</v>
      </c>
      <c r="D40" t="s">
        <v>24</v>
      </c>
      <c r="E40" t="s">
        <v>25</v>
      </c>
      <c r="F40" s="5">
        <v>12.99</v>
      </c>
      <c r="G40" s="5">
        <v>12.99</v>
      </c>
    </row>
    <row r="41" spans="2:7" x14ac:dyDescent="0.25">
      <c r="B41" t="str">
        <f>_xlfn.XLOOKUP(Export[[#This Row],[store]],Table2[store '#],Table2[Franchise])</f>
        <v>Portland</v>
      </c>
      <c r="C41">
        <v>2172</v>
      </c>
      <c r="D41" t="s">
        <v>46</v>
      </c>
      <c r="E41" t="s">
        <v>47</v>
      </c>
      <c r="F41" s="5">
        <v>14.99</v>
      </c>
      <c r="G41" s="5">
        <v>14.99</v>
      </c>
    </row>
    <row r="42" spans="2:7" x14ac:dyDescent="0.25">
      <c r="B42" t="str">
        <f>_xlfn.XLOOKUP(Export[[#This Row],[store]],Table2[store '#],Table2[Franchise])</f>
        <v>Portland</v>
      </c>
      <c r="C42">
        <v>2172</v>
      </c>
      <c r="D42" t="s">
        <v>26</v>
      </c>
      <c r="E42" t="s">
        <v>27</v>
      </c>
      <c r="F42" s="5">
        <v>15.99</v>
      </c>
      <c r="G42" s="5">
        <v>15.99</v>
      </c>
    </row>
    <row r="43" spans="2:7" x14ac:dyDescent="0.25">
      <c r="B43" t="str">
        <f>_xlfn.XLOOKUP(Export[[#This Row],[store]],Table2[store '#],Table2[Franchise])</f>
        <v>Portland</v>
      </c>
      <c r="C43">
        <v>2172</v>
      </c>
      <c r="D43" t="s">
        <v>28</v>
      </c>
      <c r="E43" t="s">
        <v>29</v>
      </c>
      <c r="F43" s="6">
        <v>10</v>
      </c>
      <c r="G43" s="6">
        <v>10</v>
      </c>
    </row>
    <row r="44" spans="2:7" x14ac:dyDescent="0.25">
      <c r="B44" t="str">
        <f>_xlfn.XLOOKUP(Export[[#This Row],[store]],Table2[store '#],Table2[Franchise])</f>
        <v>Portland</v>
      </c>
      <c r="C44">
        <v>2172</v>
      </c>
      <c r="D44" t="s">
        <v>32</v>
      </c>
      <c r="E44" t="s">
        <v>48</v>
      </c>
      <c r="F44" s="5">
        <v>18.989999999999998</v>
      </c>
      <c r="G44" s="5">
        <v>18.989999999999998</v>
      </c>
    </row>
    <row r="45" spans="2:7" x14ac:dyDescent="0.25">
      <c r="B45" t="str">
        <f>_xlfn.XLOOKUP(Export[[#This Row],[store]],Table2[store '#],Table2[Franchise])</f>
        <v>Portland</v>
      </c>
      <c r="C45">
        <v>2172</v>
      </c>
      <c r="D45" t="s">
        <v>49</v>
      </c>
      <c r="E45" t="s">
        <v>50</v>
      </c>
      <c r="F45" s="5">
        <v>9.99</v>
      </c>
      <c r="G45" s="5">
        <v>9.99</v>
      </c>
    </row>
    <row r="46" spans="2:7" x14ac:dyDescent="0.25">
      <c r="B46" t="str">
        <f>_xlfn.XLOOKUP(Export[[#This Row],[store]],Table2[store '#],Table2[Franchise])</f>
        <v>Portland</v>
      </c>
      <c r="C46">
        <v>2172</v>
      </c>
      <c r="D46" t="s">
        <v>51</v>
      </c>
      <c r="E46" t="s">
        <v>52</v>
      </c>
      <c r="F46" s="5">
        <v>13.99</v>
      </c>
      <c r="G46" s="5">
        <v>13.99</v>
      </c>
    </row>
    <row r="47" spans="2:7" x14ac:dyDescent="0.25">
      <c r="B47" t="str">
        <f>_xlfn.XLOOKUP(Export[[#This Row],[store]],Table2[store '#],Table2[Franchise])</f>
        <v>Portland</v>
      </c>
      <c r="C47">
        <v>2172</v>
      </c>
      <c r="D47" t="s">
        <v>53</v>
      </c>
      <c r="E47" t="s">
        <v>54</v>
      </c>
      <c r="F47" s="5">
        <v>17.989999999999998</v>
      </c>
      <c r="G47" s="5">
        <v>17.989999999999998</v>
      </c>
    </row>
    <row r="48" spans="2:7" x14ac:dyDescent="0.25">
      <c r="B48" t="str">
        <f>_xlfn.XLOOKUP(Export[[#This Row],[store]],Table2[store '#],Table2[Franchise])</f>
        <v>Portland</v>
      </c>
      <c r="C48">
        <v>2172</v>
      </c>
      <c r="D48" t="s">
        <v>55</v>
      </c>
      <c r="E48" t="s">
        <v>56</v>
      </c>
      <c r="F48" s="5">
        <v>25.98</v>
      </c>
      <c r="G48" s="5">
        <v>25.98</v>
      </c>
    </row>
    <row r="49" spans="2:7" x14ac:dyDescent="0.25">
      <c r="B49" t="str">
        <f>_xlfn.XLOOKUP(Export[[#This Row],[store]],Table2[store '#],Table2[Franchise])</f>
        <v>Portland</v>
      </c>
      <c r="C49">
        <v>2172</v>
      </c>
      <c r="D49" t="s">
        <v>36</v>
      </c>
      <c r="E49" t="s">
        <v>37</v>
      </c>
      <c r="F49" s="5">
        <v>15.99</v>
      </c>
      <c r="G49" s="5">
        <v>15.99</v>
      </c>
    </row>
    <row r="50" spans="2:7" x14ac:dyDescent="0.25">
      <c r="B50" t="str">
        <f>_xlfn.XLOOKUP(Export[[#This Row],[store]],Table2[store '#],Table2[Franchise])</f>
        <v>Portland</v>
      </c>
      <c r="C50">
        <v>2172</v>
      </c>
      <c r="D50" t="s">
        <v>38</v>
      </c>
      <c r="E50" t="s">
        <v>39</v>
      </c>
      <c r="F50" s="5">
        <v>29.99</v>
      </c>
      <c r="G50" s="5">
        <v>29.99</v>
      </c>
    </row>
    <row r="51" spans="2:7" x14ac:dyDescent="0.25">
      <c r="B51" t="str">
        <f>_xlfn.XLOOKUP(Export[[#This Row],[store]],Table2[store '#],Table2[Franchise])</f>
        <v>Portland</v>
      </c>
      <c r="C51">
        <v>2172</v>
      </c>
      <c r="D51" t="s">
        <v>57</v>
      </c>
      <c r="E51" t="s">
        <v>58</v>
      </c>
      <c r="F51" s="5">
        <v>20.99</v>
      </c>
      <c r="G51" s="5">
        <v>20.99</v>
      </c>
    </row>
    <row r="52" spans="2:7" x14ac:dyDescent="0.25">
      <c r="B52" t="str">
        <f>_xlfn.XLOOKUP(Export[[#This Row],[store]],Table2[store '#],Table2[Franchise])</f>
        <v>Portland</v>
      </c>
      <c r="C52">
        <v>2172</v>
      </c>
      <c r="D52" t="s">
        <v>40</v>
      </c>
      <c r="E52" t="s">
        <v>41</v>
      </c>
      <c r="F52" s="5">
        <v>14.99</v>
      </c>
      <c r="G52" s="5">
        <v>14.99</v>
      </c>
    </row>
    <row r="53" spans="2:7" x14ac:dyDescent="0.25">
      <c r="B53" t="str">
        <f>_xlfn.XLOOKUP(Export[[#This Row],[store]],Table2[store '#],Table2[Franchise])</f>
        <v>Portland</v>
      </c>
      <c r="C53">
        <v>2174</v>
      </c>
      <c r="D53" t="s">
        <v>18</v>
      </c>
      <c r="E53" t="s">
        <v>19</v>
      </c>
      <c r="F53" s="5">
        <v>13.99</v>
      </c>
      <c r="G53" s="5">
        <v>13.99</v>
      </c>
    </row>
    <row r="54" spans="2:7" x14ac:dyDescent="0.25">
      <c r="B54" t="str">
        <f>_xlfn.XLOOKUP(Export[[#This Row],[store]],Table2[store '#],Table2[Franchise])</f>
        <v>Portland</v>
      </c>
      <c r="C54">
        <v>2174</v>
      </c>
      <c r="D54" t="s">
        <v>20</v>
      </c>
      <c r="E54" t="s">
        <v>21</v>
      </c>
      <c r="F54" s="5">
        <v>4.99</v>
      </c>
      <c r="G54" s="5">
        <v>4.99</v>
      </c>
    </row>
    <row r="55" spans="2:7" x14ac:dyDescent="0.25">
      <c r="B55" t="str">
        <f>_xlfn.XLOOKUP(Export[[#This Row],[store]],Table2[store '#],Table2[Franchise])</f>
        <v>Portland</v>
      </c>
      <c r="C55">
        <v>2174</v>
      </c>
      <c r="D55" t="s">
        <v>6</v>
      </c>
      <c r="E55" t="s">
        <v>7</v>
      </c>
      <c r="F55" s="5">
        <v>6.99</v>
      </c>
      <c r="G55" s="5">
        <v>6.99</v>
      </c>
    </row>
    <row r="56" spans="2:7" x14ac:dyDescent="0.25">
      <c r="B56" t="str">
        <f>_xlfn.XLOOKUP(Export[[#This Row],[store]],Table2[store '#],Table2[Franchise])</f>
        <v>Portland</v>
      </c>
      <c r="C56">
        <v>2174</v>
      </c>
      <c r="D56" t="s">
        <v>22</v>
      </c>
      <c r="E56" t="s">
        <v>23</v>
      </c>
      <c r="F56" s="5">
        <v>9.99</v>
      </c>
      <c r="G56" s="5">
        <v>9.99</v>
      </c>
    </row>
    <row r="57" spans="2:7" x14ac:dyDescent="0.25">
      <c r="B57" t="str">
        <f>_xlfn.XLOOKUP(Export[[#This Row],[store]],Table2[store '#],Table2[Franchise])</f>
        <v>Portland</v>
      </c>
      <c r="C57">
        <v>2174</v>
      </c>
      <c r="D57" t="s">
        <v>24</v>
      </c>
      <c r="E57" t="s">
        <v>25</v>
      </c>
      <c r="F57" s="5">
        <v>12.99</v>
      </c>
      <c r="G57" s="5">
        <v>12.99</v>
      </c>
    </row>
    <row r="58" spans="2:7" x14ac:dyDescent="0.25">
      <c r="B58" t="str">
        <f>_xlfn.XLOOKUP(Export[[#This Row],[store]],Table2[store '#],Table2[Franchise])</f>
        <v>Portland</v>
      </c>
      <c r="C58">
        <v>2174</v>
      </c>
      <c r="D58" t="s">
        <v>46</v>
      </c>
      <c r="E58" t="s">
        <v>47</v>
      </c>
      <c r="F58" s="5">
        <v>14.99</v>
      </c>
      <c r="G58" s="5">
        <v>14.99</v>
      </c>
    </row>
    <row r="59" spans="2:7" x14ac:dyDescent="0.25">
      <c r="B59" t="str">
        <f>_xlfn.XLOOKUP(Export[[#This Row],[store]],Table2[store '#],Table2[Franchise])</f>
        <v>Portland</v>
      </c>
      <c r="C59">
        <v>2174</v>
      </c>
      <c r="D59" t="s">
        <v>26</v>
      </c>
      <c r="E59" t="s">
        <v>27</v>
      </c>
      <c r="F59" s="5">
        <v>15.99</v>
      </c>
      <c r="G59" s="5">
        <v>15.99</v>
      </c>
    </row>
    <row r="60" spans="2:7" x14ac:dyDescent="0.25">
      <c r="B60" t="str">
        <f>_xlfn.XLOOKUP(Export[[#This Row],[store]],Table2[store '#],Table2[Franchise])</f>
        <v>Portland</v>
      </c>
      <c r="C60">
        <v>2174</v>
      </c>
      <c r="D60" t="s">
        <v>28</v>
      </c>
      <c r="E60" t="s">
        <v>29</v>
      </c>
      <c r="F60" s="6">
        <v>10</v>
      </c>
      <c r="G60" s="6">
        <v>10</v>
      </c>
    </row>
    <row r="61" spans="2:7" x14ac:dyDescent="0.25">
      <c r="B61" t="str">
        <f>_xlfn.XLOOKUP(Export[[#This Row],[store]],Table2[store '#],Table2[Franchise])</f>
        <v>Portland</v>
      </c>
      <c r="C61">
        <v>2174</v>
      </c>
      <c r="D61" t="s">
        <v>32</v>
      </c>
      <c r="E61" t="s">
        <v>48</v>
      </c>
      <c r="F61" s="5">
        <v>18.989999999999998</v>
      </c>
      <c r="G61" s="5">
        <v>18.989999999999998</v>
      </c>
    </row>
    <row r="62" spans="2:7" x14ac:dyDescent="0.25">
      <c r="B62" t="str">
        <f>_xlfn.XLOOKUP(Export[[#This Row],[store]],Table2[store '#],Table2[Franchise])</f>
        <v>Portland</v>
      </c>
      <c r="C62">
        <v>2174</v>
      </c>
      <c r="D62" t="s">
        <v>49</v>
      </c>
      <c r="E62" t="s">
        <v>50</v>
      </c>
      <c r="F62" s="5">
        <v>9.99</v>
      </c>
      <c r="G62" s="5">
        <v>9.99</v>
      </c>
    </row>
    <row r="63" spans="2:7" x14ac:dyDescent="0.25">
      <c r="B63" t="str">
        <f>_xlfn.XLOOKUP(Export[[#This Row],[store]],Table2[store '#],Table2[Franchise])</f>
        <v>Portland</v>
      </c>
      <c r="C63">
        <v>2174</v>
      </c>
      <c r="D63" t="s">
        <v>51</v>
      </c>
      <c r="E63" t="s">
        <v>52</v>
      </c>
      <c r="F63" s="5">
        <v>13.99</v>
      </c>
      <c r="G63" s="5">
        <v>13.99</v>
      </c>
    </row>
    <row r="64" spans="2:7" x14ac:dyDescent="0.25">
      <c r="B64" t="str">
        <f>_xlfn.XLOOKUP(Export[[#This Row],[store]],Table2[store '#],Table2[Franchise])</f>
        <v>Portland</v>
      </c>
      <c r="C64">
        <v>2174</v>
      </c>
      <c r="D64" t="s">
        <v>53</v>
      </c>
      <c r="E64" t="s">
        <v>54</v>
      </c>
      <c r="F64" s="5">
        <v>17.989999999999998</v>
      </c>
      <c r="G64" s="5">
        <v>17.989999999999998</v>
      </c>
    </row>
    <row r="65" spans="2:7" x14ac:dyDescent="0.25">
      <c r="B65" t="str">
        <f>_xlfn.XLOOKUP(Export[[#This Row],[store]],Table2[store '#],Table2[Franchise])</f>
        <v>Portland</v>
      </c>
      <c r="C65">
        <v>2174</v>
      </c>
      <c r="D65" t="s">
        <v>55</v>
      </c>
      <c r="E65" t="s">
        <v>56</v>
      </c>
      <c r="F65" s="5">
        <v>25.98</v>
      </c>
      <c r="G65" s="5">
        <v>25.98</v>
      </c>
    </row>
    <row r="66" spans="2:7" x14ac:dyDescent="0.25">
      <c r="B66" t="str">
        <f>_xlfn.XLOOKUP(Export[[#This Row],[store]],Table2[store '#],Table2[Franchise])</f>
        <v>Portland</v>
      </c>
      <c r="C66">
        <v>2174</v>
      </c>
      <c r="D66" t="s">
        <v>36</v>
      </c>
      <c r="E66" t="s">
        <v>37</v>
      </c>
      <c r="F66" s="5">
        <v>15.99</v>
      </c>
      <c r="G66" s="5">
        <v>15.99</v>
      </c>
    </row>
    <row r="67" spans="2:7" x14ac:dyDescent="0.25">
      <c r="B67" t="str">
        <f>_xlfn.XLOOKUP(Export[[#This Row],[store]],Table2[store '#],Table2[Franchise])</f>
        <v>Portland</v>
      </c>
      <c r="C67">
        <v>2174</v>
      </c>
      <c r="D67" t="s">
        <v>38</v>
      </c>
      <c r="E67" t="s">
        <v>39</v>
      </c>
      <c r="F67" s="5">
        <v>29.99</v>
      </c>
      <c r="G67" s="5">
        <v>29.99</v>
      </c>
    </row>
    <row r="68" spans="2:7" x14ac:dyDescent="0.25">
      <c r="B68" t="str">
        <f>_xlfn.XLOOKUP(Export[[#This Row],[store]],Table2[store '#],Table2[Franchise])</f>
        <v>Portland</v>
      </c>
      <c r="C68">
        <v>2174</v>
      </c>
      <c r="D68" t="s">
        <v>57</v>
      </c>
      <c r="E68" t="s">
        <v>58</v>
      </c>
      <c r="F68" s="5">
        <v>20.99</v>
      </c>
      <c r="G68" s="5">
        <v>20.99</v>
      </c>
    </row>
    <row r="69" spans="2:7" x14ac:dyDescent="0.25">
      <c r="B69" t="str">
        <f>_xlfn.XLOOKUP(Export[[#This Row],[store]],Table2[store '#],Table2[Franchise])</f>
        <v>Portland</v>
      </c>
      <c r="C69">
        <v>2174</v>
      </c>
      <c r="D69" t="s">
        <v>40</v>
      </c>
      <c r="E69" t="s">
        <v>41</v>
      </c>
      <c r="F69" s="5">
        <v>14.99</v>
      </c>
      <c r="G69" s="5">
        <v>14.99</v>
      </c>
    </row>
    <row r="70" spans="2:7" x14ac:dyDescent="0.25">
      <c r="B70" t="str">
        <f>_xlfn.XLOOKUP(Export[[#This Row],[store]],Table2[store '#],Table2[Franchise])</f>
        <v>Portland</v>
      </c>
      <c r="C70">
        <v>2236</v>
      </c>
      <c r="D70" t="s">
        <v>18</v>
      </c>
      <c r="E70" t="s">
        <v>19</v>
      </c>
      <c r="F70" s="5">
        <v>13.99</v>
      </c>
      <c r="G70" s="5">
        <v>13.99</v>
      </c>
    </row>
    <row r="71" spans="2:7" x14ac:dyDescent="0.25">
      <c r="B71" t="str">
        <f>_xlfn.XLOOKUP(Export[[#This Row],[store]],Table2[store '#],Table2[Franchise])</f>
        <v>Portland</v>
      </c>
      <c r="C71">
        <v>2236</v>
      </c>
      <c r="D71" t="s">
        <v>20</v>
      </c>
      <c r="E71" t="s">
        <v>21</v>
      </c>
      <c r="F71" s="5">
        <v>4.99</v>
      </c>
      <c r="G71" s="5">
        <v>4.99</v>
      </c>
    </row>
    <row r="72" spans="2:7" x14ac:dyDescent="0.25">
      <c r="B72" t="str">
        <f>_xlfn.XLOOKUP(Export[[#This Row],[store]],Table2[store '#],Table2[Franchise])</f>
        <v>Portland</v>
      </c>
      <c r="C72">
        <v>2236</v>
      </c>
      <c r="D72" t="s">
        <v>6</v>
      </c>
      <c r="E72" t="s">
        <v>7</v>
      </c>
      <c r="F72" s="5">
        <v>6.99</v>
      </c>
      <c r="G72" s="5">
        <v>6.99</v>
      </c>
    </row>
    <row r="73" spans="2:7" x14ac:dyDescent="0.25">
      <c r="B73" t="str">
        <f>_xlfn.XLOOKUP(Export[[#This Row],[store]],Table2[store '#],Table2[Franchise])</f>
        <v>Portland</v>
      </c>
      <c r="C73">
        <v>2236</v>
      </c>
      <c r="D73" t="s">
        <v>22</v>
      </c>
      <c r="E73" t="s">
        <v>23</v>
      </c>
      <c r="F73" s="5">
        <v>9.99</v>
      </c>
      <c r="G73" s="5">
        <v>9.99</v>
      </c>
    </row>
    <row r="74" spans="2:7" x14ac:dyDescent="0.25">
      <c r="B74" t="str">
        <f>_xlfn.XLOOKUP(Export[[#This Row],[store]],Table2[store '#],Table2[Franchise])</f>
        <v>Portland</v>
      </c>
      <c r="C74">
        <v>2236</v>
      </c>
      <c r="D74" t="s">
        <v>24</v>
      </c>
      <c r="E74" t="s">
        <v>25</v>
      </c>
      <c r="F74" s="5">
        <v>12.99</v>
      </c>
      <c r="G74" s="5">
        <v>12.99</v>
      </c>
    </row>
    <row r="75" spans="2:7" x14ac:dyDescent="0.25">
      <c r="B75" t="str">
        <f>_xlfn.XLOOKUP(Export[[#This Row],[store]],Table2[store '#],Table2[Franchise])</f>
        <v>Portland</v>
      </c>
      <c r="C75">
        <v>2236</v>
      </c>
      <c r="D75" t="s">
        <v>59</v>
      </c>
      <c r="E75" t="s">
        <v>47</v>
      </c>
      <c r="F75" s="5">
        <v>14.99</v>
      </c>
      <c r="G75" s="5">
        <v>14.99</v>
      </c>
    </row>
    <row r="76" spans="2:7" x14ac:dyDescent="0.25">
      <c r="B76" t="str">
        <f>_xlfn.XLOOKUP(Export[[#This Row],[store]],Table2[store '#],Table2[Franchise])</f>
        <v>Portland</v>
      </c>
      <c r="C76">
        <v>2236</v>
      </c>
      <c r="D76" t="s">
        <v>26</v>
      </c>
      <c r="E76" t="s">
        <v>27</v>
      </c>
      <c r="F76" s="5">
        <v>15.99</v>
      </c>
      <c r="G76" s="5">
        <v>15.99</v>
      </c>
    </row>
    <row r="77" spans="2:7" x14ac:dyDescent="0.25">
      <c r="B77" t="str">
        <f>_xlfn.XLOOKUP(Export[[#This Row],[store]],Table2[store '#],Table2[Franchise])</f>
        <v>Portland</v>
      </c>
      <c r="C77">
        <v>2236</v>
      </c>
      <c r="D77" t="s">
        <v>28</v>
      </c>
      <c r="E77" t="s">
        <v>29</v>
      </c>
      <c r="F77" s="6">
        <v>10</v>
      </c>
      <c r="G77" s="6">
        <v>10</v>
      </c>
    </row>
    <row r="78" spans="2:7" x14ac:dyDescent="0.25">
      <c r="B78" t="str">
        <f>_xlfn.XLOOKUP(Export[[#This Row],[store]],Table2[store '#],Table2[Franchise])</f>
        <v>Portland</v>
      </c>
      <c r="C78">
        <v>2236</v>
      </c>
      <c r="D78" t="s">
        <v>32</v>
      </c>
      <c r="E78" t="s">
        <v>60</v>
      </c>
      <c r="F78" s="5">
        <v>18.989999999999998</v>
      </c>
      <c r="G78" s="5">
        <v>18.989999999999998</v>
      </c>
    </row>
    <row r="79" spans="2:7" x14ac:dyDescent="0.25">
      <c r="B79" t="str">
        <f>_xlfn.XLOOKUP(Export[[#This Row],[store]],Table2[store '#],Table2[Franchise])</f>
        <v>Portland</v>
      </c>
      <c r="C79">
        <v>2236</v>
      </c>
      <c r="D79" t="s">
        <v>49</v>
      </c>
      <c r="E79" t="s">
        <v>50</v>
      </c>
      <c r="F79" s="5">
        <v>9.99</v>
      </c>
      <c r="G79" s="5">
        <v>9.99</v>
      </c>
    </row>
    <row r="80" spans="2:7" x14ac:dyDescent="0.25">
      <c r="B80" t="str">
        <f>_xlfn.XLOOKUP(Export[[#This Row],[store]],Table2[store '#],Table2[Franchise])</f>
        <v>Portland</v>
      </c>
      <c r="C80">
        <v>2236</v>
      </c>
      <c r="D80" t="s">
        <v>51</v>
      </c>
      <c r="E80" t="s">
        <v>52</v>
      </c>
      <c r="F80" s="5">
        <v>13.99</v>
      </c>
      <c r="G80" s="5">
        <v>13.99</v>
      </c>
    </row>
    <row r="81" spans="2:7" x14ac:dyDescent="0.25">
      <c r="B81" t="str">
        <f>_xlfn.XLOOKUP(Export[[#This Row],[store]],Table2[store '#],Table2[Franchise])</f>
        <v>Portland</v>
      </c>
      <c r="C81">
        <v>2236</v>
      </c>
      <c r="D81" t="s">
        <v>53</v>
      </c>
      <c r="E81" t="s">
        <v>54</v>
      </c>
      <c r="F81" s="5">
        <v>17.989999999999998</v>
      </c>
      <c r="G81" s="5">
        <v>17.989999999999998</v>
      </c>
    </row>
    <row r="82" spans="2:7" x14ac:dyDescent="0.25">
      <c r="B82" t="str">
        <f>_xlfn.XLOOKUP(Export[[#This Row],[store]],Table2[store '#],Table2[Franchise])</f>
        <v>Portland</v>
      </c>
      <c r="C82">
        <v>2236</v>
      </c>
      <c r="D82" t="s">
        <v>36</v>
      </c>
      <c r="E82" t="s">
        <v>37</v>
      </c>
      <c r="F82" s="5">
        <v>15.99</v>
      </c>
      <c r="G82" s="5">
        <v>15.99</v>
      </c>
    </row>
    <row r="83" spans="2:7" x14ac:dyDescent="0.25">
      <c r="B83" t="str">
        <f>_xlfn.XLOOKUP(Export[[#This Row],[store]],Table2[store '#],Table2[Franchise])</f>
        <v>Portland</v>
      </c>
      <c r="C83">
        <v>2236</v>
      </c>
      <c r="D83" t="s">
        <v>38</v>
      </c>
      <c r="E83" t="s">
        <v>39</v>
      </c>
      <c r="F83" s="5">
        <v>29.99</v>
      </c>
      <c r="G83" s="5">
        <v>29.99</v>
      </c>
    </row>
    <row r="84" spans="2:7" x14ac:dyDescent="0.25">
      <c r="B84" t="str">
        <f>_xlfn.XLOOKUP(Export[[#This Row],[store]],Table2[store '#],Table2[Franchise])</f>
        <v>Portland</v>
      </c>
      <c r="C84">
        <v>2236</v>
      </c>
      <c r="D84" t="s">
        <v>61</v>
      </c>
      <c r="E84" t="s">
        <v>62</v>
      </c>
      <c r="F84" s="5">
        <v>20.99</v>
      </c>
      <c r="G84" s="5">
        <v>20.99</v>
      </c>
    </row>
    <row r="85" spans="2:7" x14ac:dyDescent="0.25">
      <c r="B85" t="str">
        <f>_xlfn.XLOOKUP(Export[[#This Row],[store]],Table2[store '#],Table2[Franchise])</f>
        <v>Portland</v>
      </c>
      <c r="C85">
        <v>2236</v>
      </c>
      <c r="D85" t="s">
        <v>40</v>
      </c>
      <c r="E85" t="s">
        <v>41</v>
      </c>
      <c r="F85" s="5">
        <v>14.99</v>
      </c>
      <c r="G85" s="5">
        <v>14.99</v>
      </c>
    </row>
    <row r="86" spans="2:7" x14ac:dyDescent="0.25">
      <c r="B86" t="str">
        <f>_xlfn.XLOOKUP(Export[[#This Row],[store]],Table2[store '#],Table2[Franchise])</f>
        <v>Portland</v>
      </c>
      <c r="C86">
        <v>2236</v>
      </c>
      <c r="D86" t="s">
        <v>63</v>
      </c>
      <c r="E86" t="s">
        <v>64</v>
      </c>
      <c r="F86" s="5">
        <v>25.98</v>
      </c>
      <c r="G86" s="5">
        <v>25.98</v>
      </c>
    </row>
    <row r="87" spans="2:7" x14ac:dyDescent="0.25">
      <c r="B87" t="str">
        <f>_xlfn.XLOOKUP(Export[[#This Row],[store]],Table2[store '#],Table2[Franchise])</f>
        <v>Portland</v>
      </c>
      <c r="C87">
        <v>2272</v>
      </c>
      <c r="D87" t="s">
        <v>18</v>
      </c>
      <c r="E87" t="s">
        <v>19</v>
      </c>
      <c r="F87" s="5">
        <v>13.99</v>
      </c>
      <c r="G87" s="5">
        <v>13.99</v>
      </c>
    </row>
    <row r="88" spans="2:7" x14ac:dyDescent="0.25">
      <c r="B88" t="str">
        <f>_xlfn.XLOOKUP(Export[[#This Row],[store]],Table2[store '#],Table2[Franchise])</f>
        <v>Portland</v>
      </c>
      <c r="C88">
        <v>2272</v>
      </c>
      <c r="D88" t="s">
        <v>20</v>
      </c>
      <c r="E88" t="s">
        <v>21</v>
      </c>
      <c r="F88" s="5">
        <v>4.99</v>
      </c>
      <c r="G88" s="5">
        <v>4.99</v>
      </c>
    </row>
    <row r="89" spans="2:7" x14ac:dyDescent="0.25">
      <c r="B89" t="str">
        <f>_xlfn.XLOOKUP(Export[[#This Row],[store]],Table2[store '#],Table2[Franchise])</f>
        <v>Portland</v>
      </c>
      <c r="C89">
        <v>2272</v>
      </c>
      <c r="D89" t="s">
        <v>6</v>
      </c>
      <c r="E89" t="s">
        <v>7</v>
      </c>
      <c r="F89" s="5">
        <v>6.99</v>
      </c>
      <c r="G89" s="5">
        <v>6.99</v>
      </c>
    </row>
    <row r="90" spans="2:7" x14ac:dyDescent="0.25">
      <c r="B90" t="str">
        <f>_xlfn.XLOOKUP(Export[[#This Row],[store]],Table2[store '#],Table2[Franchise])</f>
        <v>Portland</v>
      </c>
      <c r="C90">
        <v>2272</v>
      </c>
      <c r="D90" t="s">
        <v>22</v>
      </c>
      <c r="E90" t="s">
        <v>23</v>
      </c>
      <c r="F90" s="5">
        <v>9.99</v>
      </c>
      <c r="G90" s="5">
        <v>9.99</v>
      </c>
    </row>
    <row r="91" spans="2:7" x14ac:dyDescent="0.25">
      <c r="B91" t="str">
        <f>_xlfn.XLOOKUP(Export[[#This Row],[store]],Table2[store '#],Table2[Franchise])</f>
        <v>Portland</v>
      </c>
      <c r="C91">
        <v>2272</v>
      </c>
      <c r="D91" t="s">
        <v>24</v>
      </c>
      <c r="E91" t="s">
        <v>25</v>
      </c>
      <c r="F91" s="5">
        <v>12.99</v>
      </c>
      <c r="G91" s="5">
        <v>12.99</v>
      </c>
    </row>
    <row r="92" spans="2:7" x14ac:dyDescent="0.25">
      <c r="B92" t="str">
        <f>_xlfn.XLOOKUP(Export[[#This Row],[store]],Table2[store '#],Table2[Franchise])</f>
        <v>Portland</v>
      </c>
      <c r="C92">
        <v>2272</v>
      </c>
      <c r="D92" t="s">
        <v>46</v>
      </c>
      <c r="E92" t="s">
        <v>47</v>
      </c>
      <c r="F92" s="5">
        <v>14.99</v>
      </c>
      <c r="G92" s="5">
        <v>14.99</v>
      </c>
    </row>
    <row r="93" spans="2:7" x14ac:dyDescent="0.25">
      <c r="B93" t="str">
        <f>_xlfn.XLOOKUP(Export[[#This Row],[store]],Table2[store '#],Table2[Franchise])</f>
        <v>Portland</v>
      </c>
      <c r="C93">
        <v>2272</v>
      </c>
      <c r="D93" t="s">
        <v>26</v>
      </c>
      <c r="E93" t="s">
        <v>27</v>
      </c>
      <c r="F93" s="5">
        <v>15.99</v>
      </c>
      <c r="G93" s="5">
        <v>15.99</v>
      </c>
    </row>
    <row r="94" spans="2:7" x14ac:dyDescent="0.25">
      <c r="B94" t="str">
        <f>_xlfn.XLOOKUP(Export[[#This Row],[store]],Table2[store '#],Table2[Franchise])</f>
        <v>Portland</v>
      </c>
      <c r="C94">
        <v>2272</v>
      </c>
      <c r="D94" t="s">
        <v>28</v>
      </c>
      <c r="E94" t="s">
        <v>29</v>
      </c>
      <c r="F94" s="6">
        <v>10</v>
      </c>
      <c r="G94" s="6">
        <v>10</v>
      </c>
    </row>
    <row r="95" spans="2:7" x14ac:dyDescent="0.25">
      <c r="B95" t="str">
        <f>_xlfn.XLOOKUP(Export[[#This Row],[store]],Table2[store '#],Table2[Franchise])</f>
        <v>Portland</v>
      </c>
      <c r="C95">
        <v>2272</v>
      </c>
      <c r="D95" t="s">
        <v>32</v>
      </c>
      <c r="E95" t="s">
        <v>48</v>
      </c>
      <c r="F95" s="5">
        <v>18.989999999999998</v>
      </c>
      <c r="G95" s="5">
        <v>18.989999999999998</v>
      </c>
    </row>
    <row r="96" spans="2:7" x14ac:dyDescent="0.25">
      <c r="B96" t="str">
        <f>_xlfn.XLOOKUP(Export[[#This Row],[store]],Table2[store '#],Table2[Franchise])</f>
        <v>Portland</v>
      </c>
      <c r="C96">
        <v>2272</v>
      </c>
      <c r="D96" t="s">
        <v>49</v>
      </c>
      <c r="E96" t="s">
        <v>50</v>
      </c>
      <c r="F96" s="5">
        <v>9.99</v>
      </c>
      <c r="G96" s="5">
        <v>9.99</v>
      </c>
    </row>
    <row r="97" spans="2:7" x14ac:dyDescent="0.25">
      <c r="B97" t="str">
        <f>_xlfn.XLOOKUP(Export[[#This Row],[store]],Table2[store '#],Table2[Franchise])</f>
        <v>Portland</v>
      </c>
      <c r="C97">
        <v>2272</v>
      </c>
      <c r="D97" t="s">
        <v>51</v>
      </c>
      <c r="E97" t="s">
        <v>52</v>
      </c>
      <c r="F97" s="5">
        <v>13.99</v>
      </c>
      <c r="G97" s="5">
        <v>13.99</v>
      </c>
    </row>
    <row r="98" spans="2:7" x14ac:dyDescent="0.25">
      <c r="B98" t="str">
        <f>_xlfn.XLOOKUP(Export[[#This Row],[store]],Table2[store '#],Table2[Franchise])</f>
        <v>Portland</v>
      </c>
      <c r="C98">
        <v>2272</v>
      </c>
      <c r="D98" t="s">
        <v>53</v>
      </c>
      <c r="E98" t="s">
        <v>54</v>
      </c>
      <c r="F98" s="5">
        <v>17.989999999999998</v>
      </c>
      <c r="G98" s="5">
        <v>17.989999999999998</v>
      </c>
    </row>
    <row r="99" spans="2:7" x14ac:dyDescent="0.25">
      <c r="B99" t="str">
        <f>_xlfn.XLOOKUP(Export[[#This Row],[store]],Table2[store '#],Table2[Franchise])</f>
        <v>Portland</v>
      </c>
      <c r="C99">
        <v>2272</v>
      </c>
      <c r="D99" t="s">
        <v>55</v>
      </c>
      <c r="E99" t="s">
        <v>56</v>
      </c>
      <c r="F99" s="5">
        <v>25.98</v>
      </c>
      <c r="G99" s="5">
        <v>25.98</v>
      </c>
    </row>
    <row r="100" spans="2:7" x14ac:dyDescent="0.25">
      <c r="B100" t="str">
        <f>_xlfn.XLOOKUP(Export[[#This Row],[store]],Table2[store '#],Table2[Franchise])</f>
        <v>Portland</v>
      </c>
      <c r="C100">
        <v>2272</v>
      </c>
      <c r="D100" t="s">
        <v>36</v>
      </c>
      <c r="E100" t="s">
        <v>37</v>
      </c>
      <c r="F100" s="5">
        <v>15.99</v>
      </c>
      <c r="G100" s="5">
        <v>15.99</v>
      </c>
    </row>
    <row r="101" spans="2:7" x14ac:dyDescent="0.25">
      <c r="B101" t="str">
        <f>_xlfn.XLOOKUP(Export[[#This Row],[store]],Table2[store '#],Table2[Franchise])</f>
        <v>Portland</v>
      </c>
      <c r="C101">
        <v>2272</v>
      </c>
      <c r="D101" t="s">
        <v>38</v>
      </c>
      <c r="E101" t="s">
        <v>39</v>
      </c>
      <c r="F101" s="5">
        <v>29.99</v>
      </c>
      <c r="G101" s="5">
        <v>29.99</v>
      </c>
    </row>
    <row r="102" spans="2:7" x14ac:dyDescent="0.25">
      <c r="B102" t="str">
        <f>_xlfn.XLOOKUP(Export[[#This Row],[store]],Table2[store '#],Table2[Franchise])</f>
        <v>Portland</v>
      </c>
      <c r="C102">
        <v>2272</v>
      </c>
      <c r="D102" t="s">
        <v>57</v>
      </c>
      <c r="E102" t="s">
        <v>58</v>
      </c>
      <c r="F102" s="5">
        <v>20.99</v>
      </c>
      <c r="G102" s="5">
        <v>20.99</v>
      </c>
    </row>
    <row r="103" spans="2:7" x14ac:dyDescent="0.25">
      <c r="B103" t="str">
        <f>_xlfn.XLOOKUP(Export[[#This Row],[store]],Table2[store '#],Table2[Franchise])</f>
        <v>Portland</v>
      </c>
      <c r="C103">
        <v>2272</v>
      </c>
      <c r="D103" t="s">
        <v>40</v>
      </c>
      <c r="E103" t="s">
        <v>41</v>
      </c>
      <c r="F103" s="5">
        <v>14.99</v>
      </c>
      <c r="G103" s="5">
        <v>14.99</v>
      </c>
    </row>
    <row r="104" spans="2:7" x14ac:dyDescent="0.25">
      <c r="B104" t="str">
        <f>_xlfn.XLOOKUP(Export[[#This Row],[store]],Table2[store '#],Table2[Franchise])</f>
        <v>Portland</v>
      </c>
      <c r="C104">
        <v>2457</v>
      </c>
      <c r="D104" t="s">
        <v>18</v>
      </c>
      <c r="E104" t="s">
        <v>19</v>
      </c>
      <c r="F104" s="5">
        <v>13.99</v>
      </c>
      <c r="G104" s="5">
        <v>13.99</v>
      </c>
    </row>
    <row r="105" spans="2:7" x14ac:dyDescent="0.25">
      <c r="B105" t="str">
        <f>_xlfn.XLOOKUP(Export[[#This Row],[store]],Table2[store '#],Table2[Franchise])</f>
        <v>Portland</v>
      </c>
      <c r="C105">
        <v>2457</v>
      </c>
      <c r="D105" t="s">
        <v>20</v>
      </c>
      <c r="E105" t="s">
        <v>21</v>
      </c>
      <c r="F105" s="5">
        <v>4.99</v>
      </c>
      <c r="G105" s="5">
        <v>4.99</v>
      </c>
    </row>
    <row r="106" spans="2:7" x14ac:dyDescent="0.25">
      <c r="B106" t="str">
        <f>_xlfn.XLOOKUP(Export[[#This Row],[store]],Table2[store '#],Table2[Franchise])</f>
        <v>Portland</v>
      </c>
      <c r="C106">
        <v>2457</v>
      </c>
      <c r="D106" t="s">
        <v>6</v>
      </c>
      <c r="E106" t="s">
        <v>7</v>
      </c>
      <c r="F106" s="5">
        <v>6.99</v>
      </c>
      <c r="G106" s="5">
        <v>6.99</v>
      </c>
    </row>
    <row r="107" spans="2:7" x14ac:dyDescent="0.25">
      <c r="B107" t="str">
        <f>_xlfn.XLOOKUP(Export[[#This Row],[store]],Table2[store '#],Table2[Franchise])</f>
        <v>Portland</v>
      </c>
      <c r="C107">
        <v>2457</v>
      </c>
      <c r="D107" t="s">
        <v>22</v>
      </c>
      <c r="E107" t="s">
        <v>23</v>
      </c>
      <c r="F107" s="5">
        <v>9.99</v>
      </c>
      <c r="G107" s="5">
        <v>9.99</v>
      </c>
    </row>
    <row r="108" spans="2:7" x14ac:dyDescent="0.25">
      <c r="B108" t="str">
        <f>_xlfn.XLOOKUP(Export[[#This Row],[store]],Table2[store '#],Table2[Franchise])</f>
        <v>Portland</v>
      </c>
      <c r="C108">
        <v>2457</v>
      </c>
      <c r="D108" t="s">
        <v>24</v>
      </c>
      <c r="E108" t="s">
        <v>25</v>
      </c>
      <c r="F108" s="5">
        <v>12.99</v>
      </c>
      <c r="G108" s="5">
        <v>12.99</v>
      </c>
    </row>
    <row r="109" spans="2:7" x14ac:dyDescent="0.25">
      <c r="B109" t="str">
        <f>_xlfn.XLOOKUP(Export[[#This Row],[store]],Table2[store '#],Table2[Franchise])</f>
        <v>Portland</v>
      </c>
      <c r="C109">
        <v>2457</v>
      </c>
      <c r="D109" t="s">
        <v>46</v>
      </c>
      <c r="E109" t="s">
        <v>47</v>
      </c>
      <c r="F109" s="5">
        <v>14.99</v>
      </c>
      <c r="G109" s="5">
        <v>14.99</v>
      </c>
    </row>
    <row r="110" spans="2:7" x14ac:dyDescent="0.25">
      <c r="B110" t="str">
        <f>_xlfn.XLOOKUP(Export[[#This Row],[store]],Table2[store '#],Table2[Franchise])</f>
        <v>Portland</v>
      </c>
      <c r="C110">
        <v>2457</v>
      </c>
      <c r="D110" t="s">
        <v>26</v>
      </c>
      <c r="E110" t="s">
        <v>27</v>
      </c>
      <c r="F110" s="5">
        <v>15.99</v>
      </c>
      <c r="G110" s="5">
        <v>15.99</v>
      </c>
    </row>
    <row r="111" spans="2:7" x14ac:dyDescent="0.25">
      <c r="B111" t="str">
        <f>_xlfn.XLOOKUP(Export[[#This Row],[store]],Table2[store '#],Table2[Franchise])</f>
        <v>Portland</v>
      </c>
      <c r="C111">
        <v>2457</v>
      </c>
      <c r="D111" t="s">
        <v>28</v>
      </c>
      <c r="E111" t="s">
        <v>29</v>
      </c>
      <c r="F111" s="6">
        <v>10</v>
      </c>
      <c r="G111" s="6">
        <v>10</v>
      </c>
    </row>
    <row r="112" spans="2:7" x14ac:dyDescent="0.25">
      <c r="B112" t="str">
        <f>_xlfn.XLOOKUP(Export[[#This Row],[store]],Table2[store '#],Table2[Franchise])</f>
        <v>Portland</v>
      </c>
      <c r="C112">
        <v>2457</v>
      </c>
      <c r="D112" t="s">
        <v>32</v>
      </c>
      <c r="E112" t="s">
        <v>48</v>
      </c>
      <c r="F112" s="5">
        <v>18.989999999999998</v>
      </c>
      <c r="G112" s="5">
        <v>18.989999999999998</v>
      </c>
    </row>
    <row r="113" spans="2:7" x14ac:dyDescent="0.25">
      <c r="B113" t="str">
        <f>_xlfn.XLOOKUP(Export[[#This Row],[store]],Table2[store '#],Table2[Franchise])</f>
        <v>Portland</v>
      </c>
      <c r="C113">
        <v>2457</v>
      </c>
      <c r="D113" t="s">
        <v>49</v>
      </c>
      <c r="E113" t="s">
        <v>50</v>
      </c>
      <c r="F113" s="5">
        <v>9.99</v>
      </c>
      <c r="G113" s="5">
        <v>9.99</v>
      </c>
    </row>
    <row r="114" spans="2:7" x14ac:dyDescent="0.25">
      <c r="B114" t="str">
        <f>_xlfn.XLOOKUP(Export[[#This Row],[store]],Table2[store '#],Table2[Franchise])</f>
        <v>Portland</v>
      </c>
      <c r="C114">
        <v>2457</v>
      </c>
      <c r="D114" t="s">
        <v>51</v>
      </c>
      <c r="E114" t="s">
        <v>52</v>
      </c>
      <c r="F114" s="5">
        <v>13.99</v>
      </c>
      <c r="G114" s="5">
        <v>13.99</v>
      </c>
    </row>
    <row r="115" spans="2:7" x14ac:dyDescent="0.25">
      <c r="B115" t="str">
        <f>_xlfn.XLOOKUP(Export[[#This Row],[store]],Table2[store '#],Table2[Franchise])</f>
        <v>Portland</v>
      </c>
      <c r="C115">
        <v>2457</v>
      </c>
      <c r="D115" t="s">
        <v>53</v>
      </c>
      <c r="E115" t="s">
        <v>54</v>
      </c>
      <c r="F115" s="5">
        <v>17.989999999999998</v>
      </c>
      <c r="G115" s="5">
        <v>17.989999999999998</v>
      </c>
    </row>
    <row r="116" spans="2:7" x14ac:dyDescent="0.25">
      <c r="B116" t="str">
        <f>_xlfn.XLOOKUP(Export[[#This Row],[store]],Table2[store '#],Table2[Franchise])</f>
        <v>Portland</v>
      </c>
      <c r="C116">
        <v>2457</v>
      </c>
      <c r="D116" t="s">
        <v>55</v>
      </c>
      <c r="E116" t="s">
        <v>56</v>
      </c>
      <c r="F116" s="5">
        <v>25.98</v>
      </c>
      <c r="G116" s="5">
        <v>25.98</v>
      </c>
    </row>
    <row r="117" spans="2:7" x14ac:dyDescent="0.25">
      <c r="B117" t="str">
        <f>_xlfn.XLOOKUP(Export[[#This Row],[store]],Table2[store '#],Table2[Franchise])</f>
        <v>Portland</v>
      </c>
      <c r="C117">
        <v>2457</v>
      </c>
      <c r="D117" t="s">
        <v>36</v>
      </c>
      <c r="E117" t="s">
        <v>37</v>
      </c>
      <c r="F117" s="5">
        <v>15.99</v>
      </c>
      <c r="G117" s="5">
        <v>15.99</v>
      </c>
    </row>
    <row r="118" spans="2:7" x14ac:dyDescent="0.25">
      <c r="B118" t="str">
        <f>_xlfn.XLOOKUP(Export[[#This Row],[store]],Table2[store '#],Table2[Franchise])</f>
        <v>Portland</v>
      </c>
      <c r="C118">
        <v>2457</v>
      </c>
      <c r="D118" t="s">
        <v>38</v>
      </c>
      <c r="E118" t="s">
        <v>39</v>
      </c>
      <c r="F118" s="5">
        <v>29.99</v>
      </c>
      <c r="G118" s="5">
        <v>29.99</v>
      </c>
    </row>
    <row r="119" spans="2:7" x14ac:dyDescent="0.25">
      <c r="B119" t="str">
        <f>_xlfn.XLOOKUP(Export[[#This Row],[store]],Table2[store '#],Table2[Franchise])</f>
        <v>Portland</v>
      </c>
      <c r="C119">
        <v>2457</v>
      </c>
      <c r="D119" t="s">
        <v>57</v>
      </c>
      <c r="E119" t="s">
        <v>58</v>
      </c>
      <c r="F119" s="5">
        <v>20.99</v>
      </c>
      <c r="G119" s="5">
        <v>20.99</v>
      </c>
    </row>
    <row r="120" spans="2:7" x14ac:dyDescent="0.25">
      <c r="B120" t="str">
        <f>_xlfn.XLOOKUP(Export[[#This Row],[store]],Table2[store '#],Table2[Franchise])</f>
        <v>Portland</v>
      </c>
      <c r="C120">
        <v>2457</v>
      </c>
      <c r="D120" t="s">
        <v>40</v>
      </c>
      <c r="E120" t="s">
        <v>41</v>
      </c>
      <c r="F120" s="5">
        <v>14.99</v>
      </c>
      <c r="G120" s="5">
        <v>14.99</v>
      </c>
    </row>
    <row r="121" spans="2:7" x14ac:dyDescent="0.25">
      <c r="B121" t="str">
        <f>_xlfn.XLOOKUP(Export[[#This Row],[store]],Table2[store '#],Table2[Franchise])</f>
        <v>Portland</v>
      </c>
      <c r="C121">
        <v>2549</v>
      </c>
      <c r="D121" t="s">
        <v>18</v>
      </c>
      <c r="E121" t="s">
        <v>19</v>
      </c>
      <c r="F121" s="5">
        <v>13.99</v>
      </c>
      <c r="G121" s="5">
        <v>13.99</v>
      </c>
    </row>
    <row r="122" spans="2:7" x14ac:dyDescent="0.25">
      <c r="B122" t="str">
        <f>_xlfn.XLOOKUP(Export[[#This Row],[store]],Table2[store '#],Table2[Franchise])</f>
        <v>Portland</v>
      </c>
      <c r="C122">
        <v>2549</v>
      </c>
      <c r="D122" t="s">
        <v>20</v>
      </c>
      <c r="E122" t="s">
        <v>21</v>
      </c>
      <c r="F122" s="5">
        <v>4.99</v>
      </c>
      <c r="G122" s="5">
        <v>4.99</v>
      </c>
    </row>
    <row r="123" spans="2:7" x14ac:dyDescent="0.25">
      <c r="B123" t="str">
        <f>_xlfn.XLOOKUP(Export[[#This Row],[store]],Table2[store '#],Table2[Franchise])</f>
        <v>Portland</v>
      </c>
      <c r="C123">
        <v>2549</v>
      </c>
      <c r="D123" t="s">
        <v>6</v>
      </c>
      <c r="E123" t="s">
        <v>7</v>
      </c>
      <c r="F123" s="5">
        <v>6.99</v>
      </c>
      <c r="G123" s="5">
        <v>6.99</v>
      </c>
    </row>
    <row r="124" spans="2:7" x14ac:dyDescent="0.25">
      <c r="B124" t="str">
        <f>_xlfn.XLOOKUP(Export[[#This Row],[store]],Table2[store '#],Table2[Franchise])</f>
        <v>Portland</v>
      </c>
      <c r="C124">
        <v>2549</v>
      </c>
      <c r="D124" t="s">
        <v>22</v>
      </c>
      <c r="E124" t="s">
        <v>23</v>
      </c>
      <c r="F124" s="5">
        <v>9.99</v>
      </c>
      <c r="G124" s="5">
        <v>9.99</v>
      </c>
    </row>
    <row r="125" spans="2:7" x14ac:dyDescent="0.25">
      <c r="B125" t="str">
        <f>_xlfn.XLOOKUP(Export[[#This Row],[store]],Table2[store '#],Table2[Franchise])</f>
        <v>Portland</v>
      </c>
      <c r="C125">
        <v>2549</v>
      </c>
      <c r="D125" t="s">
        <v>24</v>
      </c>
      <c r="E125" t="s">
        <v>25</v>
      </c>
      <c r="F125" s="5">
        <v>12.99</v>
      </c>
      <c r="G125" s="5">
        <v>12.99</v>
      </c>
    </row>
    <row r="126" spans="2:7" x14ac:dyDescent="0.25">
      <c r="B126" t="str">
        <f>_xlfn.XLOOKUP(Export[[#This Row],[store]],Table2[store '#],Table2[Franchise])</f>
        <v>Portland</v>
      </c>
      <c r="C126">
        <v>2549</v>
      </c>
      <c r="D126" t="s">
        <v>46</v>
      </c>
      <c r="E126" t="s">
        <v>47</v>
      </c>
      <c r="F126" s="5">
        <v>14.99</v>
      </c>
      <c r="G126" s="5">
        <v>14.99</v>
      </c>
    </row>
    <row r="127" spans="2:7" x14ac:dyDescent="0.25">
      <c r="B127" t="str">
        <f>_xlfn.XLOOKUP(Export[[#This Row],[store]],Table2[store '#],Table2[Franchise])</f>
        <v>Portland</v>
      </c>
      <c r="C127">
        <v>2549</v>
      </c>
      <c r="D127" t="s">
        <v>26</v>
      </c>
      <c r="E127" t="s">
        <v>27</v>
      </c>
      <c r="F127" s="5">
        <v>15.99</v>
      </c>
      <c r="G127" s="5">
        <v>15.99</v>
      </c>
    </row>
    <row r="128" spans="2:7" x14ac:dyDescent="0.25">
      <c r="B128" t="str">
        <f>_xlfn.XLOOKUP(Export[[#This Row],[store]],Table2[store '#],Table2[Franchise])</f>
        <v>Portland</v>
      </c>
      <c r="C128">
        <v>2549</v>
      </c>
      <c r="D128" t="s">
        <v>28</v>
      </c>
      <c r="E128" t="s">
        <v>29</v>
      </c>
      <c r="F128" s="6">
        <v>10</v>
      </c>
      <c r="G128" s="6">
        <v>10</v>
      </c>
    </row>
    <row r="129" spans="2:7" x14ac:dyDescent="0.25">
      <c r="B129" t="str">
        <f>_xlfn.XLOOKUP(Export[[#This Row],[store]],Table2[store '#],Table2[Franchise])</f>
        <v>Portland</v>
      </c>
      <c r="C129">
        <v>2549</v>
      </c>
      <c r="D129" t="s">
        <v>32</v>
      </c>
      <c r="E129" t="s">
        <v>48</v>
      </c>
      <c r="F129" s="5">
        <v>18.989999999999998</v>
      </c>
      <c r="G129" s="5">
        <v>18.989999999999998</v>
      </c>
    </row>
    <row r="130" spans="2:7" x14ac:dyDescent="0.25">
      <c r="B130" t="str">
        <f>_xlfn.XLOOKUP(Export[[#This Row],[store]],Table2[store '#],Table2[Franchise])</f>
        <v>Portland</v>
      </c>
      <c r="C130">
        <v>2549</v>
      </c>
      <c r="D130" t="s">
        <v>49</v>
      </c>
      <c r="E130" t="s">
        <v>50</v>
      </c>
      <c r="F130" s="5">
        <v>9.99</v>
      </c>
      <c r="G130" s="5">
        <v>9.99</v>
      </c>
    </row>
    <row r="131" spans="2:7" x14ac:dyDescent="0.25">
      <c r="B131" t="str">
        <f>_xlfn.XLOOKUP(Export[[#This Row],[store]],Table2[store '#],Table2[Franchise])</f>
        <v>Portland</v>
      </c>
      <c r="C131">
        <v>2549</v>
      </c>
      <c r="D131" t="s">
        <v>51</v>
      </c>
      <c r="E131" t="s">
        <v>52</v>
      </c>
      <c r="F131" s="5">
        <v>13.99</v>
      </c>
      <c r="G131" s="5">
        <v>13.99</v>
      </c>
    </row>
    <row r="132" spans="2:7" x14ac:dyDescent="0.25">
      <c r="B132" t="str">
        <f>_xlfn.XLOOKUP(Export[[#This Row],[store]],Table2[store '#],Table2[Franchise])</f>
        <v>Portland</v>
      </c>
      <c r="C132">
        <v>2549</v>
      </c>
      <c r="D132" t="s">
        <v>53</v>
      </c>
      <c r="E132" t="s">
        <v>54</v>
      </c>
      <c r="F132" s="5">
        <v>17.989999999999998</v>
      </c>
      <c r="G132" s="5">
        <v>17.989999999999998</v>
      </c>
    </row>
    <row r="133" spans="2:7" x14ac:dyDescent="0.25">
      <c r="B133" t="str">
        <f>_xlfn.XLOOKUP(Export[[#This Row],[store]],Table2[store '#],Table2[Franchise])</f>
        <v>Portland</v>
      </c>
      <c r="C133">
        <v>2549</v>
      </c>
      <c r="D133" t="s">
        <v>55</v>
      </c>
      <c r="E133" t="s">
        <v>56</v>
      </c>
      <c r="F133" s="5">
        <v>25.98</v>
      </c>
      <c r="G133" s="5">
        <v>25.98</v>
      </c>
    </row>
    <row r="134" spans="2:7" x14ac:dyDescent="0.25">
      <c r="B134" t="str">
        <f>_xlfn.XLOOKUP(Export[[#This Row],[store]],Table2[store '#],Table2[Franchise])</f>
        <v>Portland</v>
      </c>
      <c r="C134">
        <v>2549</v>
      </c>
      <c r="D134" t="s">
        <v>36</v>
      </c>
      <c r="E134" t="s">
        <v>37</v>
      </c>
      <c r="F134" s="5">
        <v>15.99</v>
      </c>
      <c r="G134" s="5">
        <v>15.99</v>
      </c>
    </row>
    <row r="135" spans="2:7" x14ac:dyDescent="0.25">
      <c r="B135" t="str">
        <f>_xlfn.XLOOKUP(Export[[#This Row],[store]],Table2[store '#],Table2[Franchise])</f>
        <v>Portland</v>
      </c>
      <c r="C135">
        <v>2549</v>
      </c>
      <c r="D135" t="s">
        <v>38</v>
      </c>
      <c r="E135" t="s">
        <v>39</v>
      </c>
      <c r="F135" s="5">
        <v>29.99</v>
      </c>
      <c r="G135" s="5">
        <v>29.99</v>
      </c>
    </row>
    <row r="136" spans="2:7" x14ac:dyDescent="0.25">
      <c r="B136" t="str">
        <f>_xlfn.XLOOKUP(Export[[#This Row],[store]],Table2[store '#],Table2[Franchise])</f>
        <v>Portland</v>
      </c>
      <c r="C136">
        <v>2549</v>
      </c>
      <c r="D136" t="s">
        <v>57</v>
      </c>
      <c r="E136" t="s">
        <v>58</v>
      </c>
      <c r="F136" s="5">
        <v>20.99</v>
      </c>
      <c r="G136" s="5">
        <v>20.99</v>
      </c>
    </row>
    <row r="137" spans="2:7" x14ac:dyDescent="0.25">
      <c r="B137" t="str">
        <f>_xlfn.XLOOKUP(Export[[#This Row],[store]],Table2[store '#],Table2[Franchise])</f>
        <v>Portland</v>
      </c>
      <c r="C137">
        <v>2549</v>
      </c>
      <c r="D137" t="s">
        <v>40</v>
      </c>
      <c r="E137" t="s">
        <v>41</v>
      </c>
      <c r="F137" s="5">
        <v>14.99</v>
      </c>
      <c r="G137" s="5">
        <v>14.99</v>
      </c>
    </row>
    <row r="138" spans="2:7" x14ac:dyDescent="0.25">
      <c r="B138" t="str">
        <f>_xlfn.XLOOKUP(Export[[#This Row],[store]],Table2[store '#],Table2[Franchise])</f>
        <v>Portland</v>
      </c>
      <c r="C138">
        <v>2603</v>
      </c>
      <c r="D138" t="s">
        <v>18</v>
      </c>
      <c r="E138" t="s">
        <v>19</v>
      </c>
      <c r="F138" s="5">
        <v>13.99</v>
      </c>
      <c r="G138" s="5">
        <v>13.99</v>
      </c>
    </row>
    <row r="139" spans="2:7" x14ac:dyDescent="0.25">
      <c r="B139" t="str">
        <f>_xlfn.XLOOKUP(Export[[#This Row],[store]],Table2[store '#],Table2[Franchise])</f>
        <v>Portland</v>
      </c>
      <c r="C139">
        <v>2603</v>
      </c>
      <c r="D139" t="s">
        <v>20</v>
      </c>
      <c r="E139" t="s">
        <v>21</v>
      </c>
      <c r="F139" s="5">
        <v>4.99</v>
      </c>
      <c r="G139" s="5">
        <v>4.99</v>
      </c>
    </row>
    <row r="140" spans="2:7" x14ac:dyDescent="0.25">
      <c r="B140" t="str">
        <f>_xlfn.XLOOKUP(Export[[#This Row],[store]],Table2[store '#],Table2[Franchise])</f>
        <v>Portland</v>
      </c>
      <c r="C140">
        <v>2603</v>
      </c>
      <c r="D140" t="s">
        <v>6</v>
      </c>
      <c r="E140" t="s">
        <v>7</v>
      </c>
      <c r="F140" s="5">
        <v>6.99</v>
      </c>
      <c r="G140" s="5">
        <v>6.99</v>
      </c>
    </row>
    <row r="141" spans="2:7" x14ac:dyDescent="0.25">
      <c r="B141" t="str">
        <f>_xlfn.XLOOKUP(Export[[#This Row],[store]],Table2[store '#],Table2[Franchise])</f>
        <v>Portland</v>
      </c>
      <c r="C141">
        <v>2603</v>
      </c>
      <c r="D141" t="s">
        <v>22</v>
      </c>
      <c r="E141" t="s">
        <v>23</v>
      </c>
      <c r="F141" s="5">
        <v>9.99</v>
      </c>
      <c r="G141" s="5">
        <v>9.99</v>
      </c>
    </row>
    <row r="142" spans="2:7" x14ac:dyDescent="0.25">
      <c r="B142" t="str">
        <f>_xlfn.XLOOKUP(Export[[#This Row],[store]],Table2[store '#],Table2[Franchise])</f>
        <v>Portland</v>
      </c>
      <c r="C142">
        <v>2603</v>
      </c>
      <c r="D142" t="s">
        <v>24</v>
      </c>
      <c r="E142" t="s">
        <v>25</v>
      </c>
      <c r="F142" s="5">
        <v>12.99</v>
      </c>
      <c r="G142" s="5">
        <v>12.99</v>
      </c>
    </row>
    <row r="143" spans="2:7" x14ac:dyDescent="0.25">
      <c r="B143" t="str">
        <f>_xlfn.XLOOKUP(Export[[#This Row],[store]],Table2[store '#],Table2[Franchise])</f>
        <v>Portland</v>
      </c>
      <c r="C143">
        <v>2603</v>
      </c>
      <c r="D143" t="s">
        <v>46</v>
      </c>
      <c r="E143" t="s">
        <v>47</v>
      </c>
      <c r="F143" s="5">
        <v>14.99</v>
      </c>
      <c r="G143" s="5">
        <v>14.99</v>
      </c>
    </row>
    <row r="144" spans="2:7" x14ac:dyDescent="0.25">
      <c r="B144" t="str">
        <f>_xlfn.XLOOKUP(Export[[#This Row],[store]],Table2[store '#],Table2[Franchise])</f>
        <v>Portland</v>
      </c>
      <c r="C144">
        <v>2603</v>
      </c>
      <c r="D144" t="s">
        <v>26</v>
      </c>
      <c r="E144" t="s">
        <v>27</v>
      </c>
      <c r="F144" s="5">
        <v>15.99</v>
      </c>
      <c r="G144" s="5">
        <v>15.99</v>
      </c>
    </row>
    <row r="145" spans="1:7" x14ac:dyDescent="0.25">
      <c r="B145" t="str">
        <f>_xlfn.XLOOKUP(Export[[#This Row],[store]],Table2[store '#],Table2[Franchise])</f>
        <v>Portland</v>
      </c>
      <c r="C145">
        <v>2603</v>
      </c>
      <c r="D145" t="s">
        <v>28</v>
      </c>
      <c r="E145" t="s">
        <v>29</v>
      </c>
      <c r="F145" s="6">
        <v>10</v>
      </c>
      <c r="G145" s="6">
        <v>10</v>
      </c>
    </row>
    <row r="146" spans="1:7" x14ac:dyDescent="0.25">
      <c r="B146" t="str">
        <f>_xlfn.XLOOKUP(Export[[#This Row],[store]],Table2[store '#],Table2[Franchise])</f>
        <v>Portland</v>
      </c>
      <c r="C146">
        <v>2603</v>
      </c>
      <c r="D146" t="s">
        <v>32</v>
      </c>
      <c r="E146" t="s">
        <v>48</v>
      </c>
      <c r="F146" s="5">
        <v>18.989999999999998</v>
      </c>
      <c r="G146" s="5">
        <v>18.989999999999998</v>
      </c>
    </row>
    <row r="147" spans="1:7" x14ac:dyDescent="0.25">
      <c r="B147" t="str">
        <f>_xlfn.XLOOKUP(Export[[#This Row],[store]],Table2[store '#],Table2[Franchise])</f>
        <v>Portland</v>
      </c>
      <c r="C147">
        <v>2603</v>
      </c>
      <c r="D147" t="s">
        <v>49</v>
      </c>
      <c r="E147" t="s">
        <v>50</v>
      </c>
      <c r="F147" s="5">
        <v>9.99</v>
      </c>
      <c r="G147" s="5">
        <v>9.99</v>
      </c>
    </row>
    <row r="148" spans="1:7" x14ac:dyDescent="0.25">
      <c r="B148" t="str">
        <f>_xlfn.XLOOKUP(Export[[#This Row],[store]],Table2[store '#],Table2[Franchise])</f>
        <v>Portland</v>
      </c>
      <c r="C148">
        <v>2603</v>
      </c>
      <c r="D148" t="s">
        <v>51</v>
      </c>
      <c r="E148" t="s">
        <v>52</v>
      </c>
      <c r="F148" s="5">
        <v>13.99</v>
      </c>
      <c r="G148" s="5">
        <v>13.99</v>
      </c>
    </row>
    <row r="149" spans="1:7" x14ac:dyDescent="0.25">
      <c r="B149" t="str">
        <f>_xlfn.XLOOKUP(Export[[#This Row],[store]],Table2[store '#],Table2[Franchise])</f>
        <v>Portland</v>
      </c>
      <c r="C149">
        <v>2603</v>
      </c>
      <c r="D149" t="s">
        <v>53</v>
      </c>
      <c r="E149" t="s">
        <v>54</v>
      </c>
      <c r="F149" s="5">
        <v>17.989999999999998</v>
      </c>
      <c r="G149" s="5">
        <v>17.989999999999998</v>
      </c>
    </row>
    <row r="150" spans="1:7" x14ac:dyDescent="0.25">
      <c r="B150" t="str">
        <f>_xlfn.XLOOKUP(Export[[#This Row],[store]],Table2[store '#],Table2[Franchise])</f>
        <v>Portland</v>
      </c>
      <c r="C150">
        <v>2603</v>
      </c>
      <c r="D150" t="s">
        <v>55</v>
      </c>
      <c r="E150" t="s">
        <v>56</v>
      </c>
      <c r="F150" s="5">
        <v>25.98</v>
      </c>
      <c r="G150" s="5">
        <v>25.98</v>
      </c>
    </row>
    <row r="151" spans="1:7" x14ac:dyDescent="0.25">
      <c r="A151" s="7"/>
      <c r="B151" t="str">
        <f>_xlfn.XLOOKUP(Export[[#This Row],[store]],Table2[store '#],Table2[Franchise])</f>
        <v>Portland</v>
      </c>
      <c r="C151">
        <v>2603</v>
      </c>
      <c r="D151" t="s">
        <v>36</v>
      </c>
      <c r="E151" t="s">
        <v>37</v>
      </c>
      <c r="F151" s="5">
        <v>15.99</v>
      </c>
      <c r="G151" s="5">
        <v>15.99</v>
      </c>
    </row>
    <row r="152" spans="1:7" x14ac:dyDescent="0.25">
      <c r="A152" s="7"/>
      <c r="B152" t="str">
        <f>_xlfn.XLOOKUP(Export[[#This Row],[store]],Table2[store '#],Table2[Franchise])</f>
        <v>Portland</v>
      </c>
      <c r="C152">
        <v>2603</v>
      </c>
      <c r="D152" t="s">
        <v>38</v>
      </c>
      <c r="E152" t="s">
        <v>39</v>
      </c>
      <c r="F152" s="5">
        <v>29.99</v>
      </c>
      <c r="G152" s="5">
        <v>29.99</v>
      </c>
    </row>
    <row r="153" spans="1:7" x14ac:dyDescent="0.25">
      <c r="A153" s="7"/>
      <c r="B153" t="str">
        <f>_xlfn.XLOOKUP(Export[[#This Row],[store]],Table2[store '#],Table2[Franchise])</f>
        <v>Portland</v>
      </c>
      <c r="C153">
        <v>2603</v>
      </c>
      <c r="D153" t="s">
        <v>57</v>
      </c>
      <c r="E153" t="s">
        <v>58</v>
      </c>
      <c r="F153" s="5">
        <v>20.99</v>
      </c>
      <c r="G153" s="5">
        <v>20.99</v>
      </c>
    </row>
    <row r="154" spans="1:7" x14ac:dyDescent="0.25">
      <c r="A154" s="7"/>
      <c r="B154" t="str">
        <f>_xlfn.XLOOKUP(Export[[#This Row],[store]],Table2[store '#],Table2[Franchise])</f>
        <v>Portland</v>
      </c>
      <c r="C154">
        <v>2603</v>
      </c>
      <c r="D154" t="s">
        <v>40</v>
      </c>
      <c r="E154" t="s">
        <v>41</v>
      </c>
      <c r="F154" s="5">
        <v>14.99</v>
      </c>
      <c r="G154" s="5">
        <v>14.99</v>
      </c>
    </row>
    <row r="155" spans="1:7" x14ac:dyDescent="0.25">
      <c r="A155" s="7"/>
      <c r="B155" t="str">
        <f>_xlfn.XLOOKUP(Export[[#This Row],[store]],Table2[store '#],Table2[Franchise])</f>
        <v>Portland</v>
      </c>
      <c r="C155">
        <v>2953</v>
      </c>
      <c r="D155" t="s">
        <v>18</v>
      </c>
      <c r="E155" t="s">
        <v>19</v>
      </c>
      <c r="F155" s="5">
        <v>13.99</v>
      </c>
      <c r="G155" s="5">
        <v>13.99</v>
      </c>
    </row>
    <row r="156" spans="1:7" x14ac:dyDescent="0.25">
      <c r="A156" s="7"/>
      <c r="B156" t="str">
        <f>_xlfn.XLOOKUP(Export[[#This Row],[store]],Table2[store '#],Table2[Franchise])</f>
        <v>Portland</v>
      </c>
      <c r="C156">
        <v>2953</v>
      </c>
      <c r="D156" t="s">
        <v>20</v>
      </c>
      <c r="E156" t="s">
        <v>21</v>
      </c>
      <c r="F156" s="5">
        <v>4.99</v>
      </c>
      <c r="G156" s="5">
        <v>4.99</v>
      </c>
    </row>
    <row r="157" spans="1:7" x14ac:dyDescent="0.25">
      <c r="A157" s="7"/>
      <c r="B157" t="str">
        <f>_xlfn.XLOOKUP(Export[[#This Row],[store]],Table2[store '#],Table2[Franchise])</f>
        <v>Portland</v>
      </c>
      <c r="C157">
        <v>2953</v>
      </c>
      <c r="D157" t="s">
        <v>6</v>
      </c>
      <c r="E157" t="s">
        <v>7</v>
      </c>
      <c r="F157" s="5">
        <v>6.99</v>
      </c>
      <c r="G157" s="5">
        <v>6.99</v>
      </c>
    </row>
    <row r="158" spans="1:7" x14ac:dyDescent="0.25">
      <c r="A158" s="7"/>
      <c r="B158" t="str">
        <f>_xlfn.XLOOKUP(Export[[#This Row],[store]],Table2[store '#],Table2[Franchise])</f>
        <v>Portland</v>
      </c>
      <c r="C158">
        <v>2953</v>
      </c>
      <c r="D158" t="s">
        <v>22</v>
      </c>
      <c r="E158" t="s">
        <v>23</v>
      </c>
      <c r="F158" s="5">
        <v>9.99</v>
      </c>
      <c r="G158" s="5">
        <v>9.99</v>
      </c>
    </row>
    <row r="159" spans="1:7" x14ac:dyDescent="0.25">
      <c r="A159" s="7"/>
      <c r="B159" t="str">
        <f>_xlfn.XLOOKUP(Export[[#This Row],[store]],Table2[store '#],Table2[Franchise])</f>
        <v>Portland</v>
      </c>
      <c r="C159">
        <v>2953</v>
      </c>
      <c r="D159" t="s">
        <v>24</v>
      </c>
      <c r="E159" t="s">
        <v>25</v>
      </c>
      <c r="F159" s="5">
        <v>12.99</v>
      </c>
      <c r="G159" s="5">
        <v>12.99</v>
      </c>
    </row>
    <row r="160" spans="1:7" x14ac:dyDescent="0.25">
      <c r="A160" s="7"/>
      <c r="B160" t="str">
        <f>_xlfn.XLOOKUP(Export[[#This Row],[store]],Table2[store '#],Table2[Franchise])</f>
        <v>Portland</v>
      </c>
      <c r="C160">
        <v>2953</v>
      </c>
      <c r="D160" t="s">
        <v>59</v>
      </c>
      <c r="E160" t="s">
        <v>47</v>
      </c>
      <c r="F160" s="5">
        <v>14.99</v>
      </c>
      <c r="G160" s="5">
        <v>14.99</v>
      </c>
    </row>
    <row r="161" spans="1:7" x14ac:dyDescent="0.25">
      <c r="A161" s="7"/>
      <c r="B161" t="str">
        <f>_xlfn.XLOOKUP(Export[[#This Row],[store]],Table2[store '#],Table2[Franchise])</f>
        <v>Portland</v>
      </c>
      <c r="C161">
        <v>2953</v>
      </c>
      <c r="D161" t="s">
        <v>26</v>
      </c>
      <c r="E161" t="s">
        <v>27</v>
      </c>
      <c r="F161" s="5">
        <v>15.99</v>
      </c>
      <c r="G161" s="5">
        <v>15.99</v>
      </c>
    </row>
    <row r="162" spans="1:7" x14ac:dyDescent="0.25">
      <c r="A162" s="7"/>
      <c r="B162" t="str">
        <f>_xlfn.XLOOKUP(Export[[#This Row],[store]],Table2[store '#],Table2[Franchise])</f>
        <v>Portland</v>
      </c>
      <c r="C162">
        <v>2953</v>
      </c>
      <c r="D162" t="s">
        <v>28</v>
      </c>
      <c r="E162" t="s">
        <v>29</v>
      </c>
      <c r="F162" s="6">
        <v>10</v>
      </c>
      <c r="G162" s="6">
        <v>10</v>
      </c>
    </row>
    <row r="163" spans="1:7" x14ac:dyDescent="0.25">
      <c r="A163" s="7"/>
      <c r="B163" t="str">
        <f>_xlfn.XLOOKUP(Export[[#This Row],[store]],Table2[store '#],Table2[Franchise])</f>
        <v>Portland</v>
      </c>
      <c r="C163">
        <v>2953</v>
      </c>
      <c r="D163" t="s">
        <v>32</v>
      </c>
      <c r="E163" t="s">
        <v>60</v>
      </c>
      <c r="F163" s="5">
        <v>18.989999999999998</v>
      </c>
      <c r="G163" s="5">
        <v>18.989999999999998</v>
      </c>
    </row>
    <row r="164" spans="1:7" x14ac:dyDescent="0.25">
      <c r="A164" s="7"/>
      <c r="B164" t="str">
        <f>_xlfn.XLOOKUP(Export[[#This Row],[store]],Table2[store '#],Table2[Franchise])</f>
        <v>Portland</v>
      </c>
      <c r="C164">
        <v>2953</v>
      </c>
      <c r="D164" t="s">
        <v>49</v>
      </c>
      <c r="E164" t="s">
        <v>50</v>
      </c>
      <c r="F164" s="5">
        <v>9.99</v>
      </c>
      <c r="G164" s="5">
        <v>9.99</v>
      </c>
    </row>
    <row r="165" spans="1:7" x14ac:dyDescent="0.25">
      <c r="A165" s="7"/>
      <c r="B165" t="str">
        <f>_xlfn.XLOOKUP(Export[[#This Row],[store]],Table2[store '#],Table2[Franchise])</f>
        <v>Portland</v>
      </c>
      <c r="C165">
        <v>2953</v>
      </c>
      <c r="D165" t="s">
        <v>51</v>
      </c>
      <c r="E165" t="s">
        <v>52</v>
      </c>
      <c r="F165" s="5">
        <v>13.99</v>
      </c>
      <c r="G165" s="5">
        <v>13.99</v>
      </c>
    </row>
    <row r="166" spans="1:7" x14ac:dyDescent="0.25">
      <c r="A166" s="7"/>
      <c r="B166" t="str">
        <f>_xlfn.XLOOKUP(Export[[#This Row],[store]],Table2[store '#],Table2[Franchise])</f>
        <v>Portland</v>
      </c>
      <c r="C166">
        <v>2953</v>
      </c>
      <c r="D166" t="s">
        <v>53</v>
      </c>
      <c r="E166" t="s">
        <v>54</v>
      </c>
      <c r="F166" s="5">
        <v>17.989999999999998</v>
      </c>
      <c r="G166" s="5">
        <v>17.989999999999998</v>
      </c>
    </row>
    <row r="167" spans="1:7" x14ac:dyDescent="0.25">
      <c r="A167" s="7"/>
      <c r="B167" t="str">
        <f>_xlfn.XLOOKUP(Export[[#This Row],[store]],Table2[store '#],Table2[Franchise])</f>
        <v>Portland</v>
      </c>
      <c r="C167">
        <v>2953</v>
      </c>
      <c r="D167" t="s">
        <v>36</v>
      </c>
      <c r="E167" t="s">
        <v>37</v>
      </c>
      <c r="F167" s="5">
        <v>15.99</v>
      </c>
      <c r="G167" s="5">
        <v>15.99</v>
      </c>
    </row>
    <row r="168" spans="1:7" x14ac:dyDescent="0.25">
      <c r="A168" s="7"/>
      <c r="B168" t="str">
        <f>_xlfn.XLOOKUP(Export[[#This Row],[store]],Table2[store '#],Table2[Franchise])</f>
        <v>Portland</v>
      </c>
      <c r="C168">
        <v>2953</v>
      </c>
      <c r="D168" t="s">
        <v>38</v>
      </c>
      <c r="E168" t="s">
        <v>39</v>
      </c>
      <c r="F168" s="5">
        <v>29.99</v>
      </c>
      <c r="G168" s="5">
        <v>29.99</v>
      </c>
    </row>
    <row r="169" spans="1:7" x14ac:dyDescent="0.25">
      <c r="A169" s="7"/>
      <c r="B169" t="str">
        <f>_xlfn.XLOOKUP(Export[[#This Row],[store]],Table2[store '#],Table2[Franchise])</f>
        <v>Portland</v>
      </c>
      <c r="C169">
        <v>2953</v>
      </c>
      <c r="D169" t="s">
        <v>61</v>
      </c>
      <c r="E169" t="s">
        <v>62</v>
      </c>
      <c r="F169" s="5">
        <v>20.99</v>
      </c>
      <c r="G169" s="5">
        <v>20.99</v>
      </c>
    </row>
    <row r="170" spans="1:7" x14ac:dyDescent="0.25">
      <c r="A170" s="7"/>
      <c r="B170" t="str">
        <f>_xlfn.XLOOKUP(Export[[#This Row],[store]],Table2[store '#],Table2[Franchise])</f>
        <v>Portland</v>
      </c>
      <c r="C170">
        <v>2953</v>
      </c>
      <c r="D170" t="s">
        <v>40</v>
      </c>
      <c r="E170" t="s">
        <v>41</v>
      </c>
      <c r="F170" s="5">
        <v>14.99</v>
      </c>
      <c r="G170" s="5">
        <v>14.99</v>
      </c>
    </row>
    <row r="171" spans="1:7" x14ac:dyDescent="0.25">
      <c r="A171" s="7"/>
      <c r="B171" t="str">
        <f>_xlfn.XLOOKUP(Export[[#This Row],[store]],Table2[store '#],Table2[Franchise])</f>
        <v>Portland</v>
      </c>
      <c r="C171">
        <v>2953</v>
      </c>
      <c r="D171" t="s">
        <v>63</v>
      </c>
      <c r="E171" t="s">
        <v>64</v>
      </c>
      <c r="F171" s="5">
        <v>25.98</v>
      </c>
      <c r="G171" s="5">
        <v>25.98</v>
      </c>
    </row>
    <row r="172" spans="1:7" x14ac:dyDescent="0.25">
      <c r="A172" s="7"/>
      <c r="B172" t="str">
        <f>_xlfn.XLOOKUP(Export[[#This Row],[store]],Table2[store '#],Table2[Franchise])</f>
        <v>Portland</v>
      </c>
      <c r="C172">
        <v>3498</v>
      </c>
      <c r="D172" t="s">
        <v>18</v>
      </c>
      <c r="E172" t="s">
        <v>19</v>
      </c>
      <c r="F172" s="5">
        <v>13.99</v>
      </c>
      <c r="G172" s="5">
        <v>13.99</v>
      </c>
    </row>
    <row r="173" spans="1:7" x14ac:dyDescent="0.25">
      <c r="A173" s="7"/>
      <c r="B173" t="str">
        <f>_xlfn.XLOOKUP(Export[[#This Row],[store]],Table2[store '#],Table2[Franchise])</f>
        <v>Portland</v>
      </c>
      <c r="C173">
        <v>3498</v>
      </c>
      <c r="D173" t="s">
        <v>20</v>
      </c>
      <c r="E173" t="s">
        <v>21</v>
      </c>
      <c r="F173" s="5">
        <v>4.99</v>
      </c>
      <c r="G173" s="5">
        <v>4.99</v>
      </c>
    </row>
    <row r="174" spans="1:7" x14ac:dyDescent="0.25">
      <c r="A174" s="7"/>
      <c r="B174" t="str">
        <f>_xlfn.XLOOKUP(Export[[#This Row],[store]],Table2[store '#],Table2[Franchise])</f>
        <v>Portland</v>
      </c>
      <c r="C174">
        <v>3498</v>
      </c>
      <c r="D174" t="s">
        <v>6</v>
      </c>
      <c r="E174" t="s">
        <v>7</v>
      </c>
      <c r="F174" s="5">
        <v>6.99</v>
      </c>
      <c r="G174" s="5">
        <v>6.99</v>
      </c>
    </row>
    <row r="175" spans="1:7" x14ac:dyDescent="0.25">
      <c r="A175" s="7"/>
      <c r="B175" t="str">
        <f>_xlfn.XLOOKUP(Export[[#This Row],[store]],Table2[store '#],Table2[Franchise])</f>
        <v>Portland</v>
      </c>
      <c r="C175">
        <v>3498</v>
      </c>
      <c r="D175" t="s">
        <v>22</v>
      </c>
      <c r="E175" t="s">
        <v>23</v>
      </c>
      <c r="F175" s="5">
        <v>9.99</v>
      </c>
      <c r="G175" s="5">
        <v>9.99</v>
      </c>
    </row>
    <row r="176" spans="1:7" x14ac:dyDescent="0.25">
      <c r="A176" s="7"/>
      <c r="B176" t="str">
        <f>_xlfn.XLOOKUP(Export[[#This Row],[store]],Table2[store '#],Table2[Franchise])</f>
        <v>Portland</v>
      </c>
      <c r="C176">
        <v>3498</v>
      </c>
      <c r="D176" t="s">
        <v>24</v>
      </c>
      <c r="E176" t="s">
        <v>25</v>
      </c>
      <c r="F176" s="5">
        <v>12.99</v>
      </c>
      <c r="G176" s="5">
        <v>12.99</v>
      </c>
    </row>
    <row r="177" spans="1:7" x14ac:dyDescent="0.25">
      <c r="A177" s="7"/>
      <c r="B177" t="str">
        <f>_xlfn.XLOOKUP(Export[[#This Row],[store]],Table2[store '#],Table2[Franchise])</f>
        <v>Portland</v>
      </c>
      <c r="C177">
        <v>3498</v>
      </c>
      <c r="D177" t="s">
        <v>59</v>
      </c>
      <c r="E177" t="s">
        <v>47</v>
      </c>
      <c r="F177" s="5">
        <v>14.99</v>
      </c>
      <c r="G177" s="5">
        <v>14.99</v>
      </c>
    </row>
    <row r="178" spans="1:7" x14ac:dyDescent="0.25">
      <c r="A178" s="7"/>
      <c r="B178" t="str">
        <f>_xlfn.XLOOKUP(Export[[#This Row],[store]],Table2[store '#],Table2[Franchise])</f>
        <v>Portland</v>
      </c>
      <c r="C178">
        <v>3498</v>
      </c>
      <c r="D178" t="s">
        <v>26</v>
      </c>
      <c r="E178" t="s">
        <v>27</v>
      </c>
      <c r="F178" s="5">
        <v>15.99</v>
      </c>
      <c r="G178" s="5">
        <v>15.99</v>
      </c>
    </row>
    <row r="179" spans="1:7" x14ac:dyDescent="0.25">
      <c r="A179" s="7"/>
      <c r="B179" t="str">
        <f>_xlfn.XLOOKUP(Export[[#This Row],[store]],Table2[store '#],Table2[Franchise])</f>
        <v>Portland</v>
      </c>
      <c r="C179">
        <v>3498</v>
      </c>
      <c r="D179" t="s">
        <v>28</v>
      </c>
      <c r="E179" t="s">
        <v>29</v>
      </c>
      <c r="F179" s="6">
        <v>10</v>
      </c>
      <c r="G179" s="6">
        <v>10</v>
      </c>
    </row>
    <row r="180" spans="1:7" x14ac:dyDescent="0.25">
      <c r="A180" s="7"/>
      <c r="B180" t="str">
        <f>_xlfn.XLOOKUP(Export[[#This Row],[store]],Table2[store '#],Table2[Franchise])</f>
        <v>Portland</v>
      </c>
      <c r="C180">
        <v>3498</v>
      </c>
      <c r="D180" t="s">
        <v>32</v>
      </c>
      <c r="E180" t="s">
        <v>60</v>
      </c>
      <c r="F180" s="5">
        <v>18.989999999999998</v>
      </c>
      <c r="G180" s="5">
        <v>18.989999999999998</v>
      </c>
    </row>
    <row r="181" spans="1:7" x14ac:dyDescent="0.25">
      <c r="A181" s="7"/>
      <c r="B181" t="str">
        <f>_xlfn.XLOOKUP(Export[[#This Row],[store]],Table2[store '#],Table2[Franchise])</f>
        <v>Portland</v>
      </c>
      <c r="C181">
        <v>3498</v>
      </c>
      <c r="D181" t="s">
        <v>49</v>
      </c>
      <c r="E181" t="s">
        <v>50</v>
      </c>
      <c r="F181" s="5">
        <v>9.99</v>
      </c>
      <c r="G181" s="5">
        <v>9.99</v>
      </c>
    </row>
    <row r="182" spans="1:7" x14ac:dyDescent="0.25">
      <c r="A182" s="7"/>
      <c r="B182" t="str">
        <f>_xlfn.XLOOKUP(Export[[#This Row],[store]],Table2[store '#],Table2[Franchise])</f>
        <v>Portland</v>
      </c>
      <c r="C182">
        <v>3498</v>
      </c>
      <c r="D182" t="s">
        <v>51</v>
      </c>
      <c r="E182" t="s">
        <v>52</v>
      </c>
      <c r="F182" s="5">
        <v>13.99</v>
      </c>
      <c r="G182" s="5">
        <v>13.99</v>
      </c>
    </row>
    <row r="183" spans="1:7" x14ac:dyDescent="0.25">
      <c r="A183" s="7"/>
      <c r="B183" t="str">
        <f>_xlfn.XLOOKUP(Export[[#This Row],[store]],Table2[store '#],Table2[Franchise])</f>
        <v>Portland</v>
      </c>
      <c r="C183">
        <v>3498</v>
      </c>
      <c r="D183" t="s">
        <v>53</v>
      </c>
      <c r="E183" t="s">
        <v>54</v>
      </c>
      <c r="F183" s="5">
        <v>17.989999999999998</v>
      </c>
      <c r="G183" s="5">
        <v>17.989999999999998</v>
      </c>
    </row>
    <row r="184" spans="1:7" x14ac:dyDescent="0.25">
      <c r="A184" s="7"/>
      <c r="B184" t="str">
        <f>_xlfn.XLOOKUP(Export[[#This Row],[store]],Table2[store '#],Table2[Franchise])</f>
        <v>Portland</v>
      </c>
      <c r="C184">
        <v>3498</v>
      </c>
      <c r="D184" t="s">
        <v>36</v>
      </c>
      <c r="E184" t="s">
        <v>37</v>
      </c>
      <c r="F184" s="5">
        <v>15.99</v>
      </c>
      <c r="G184" s="5">
        <v>15.99</v>
      </c>
    </row>
    <row r="185" spans="1:7" x14ac:dyDescent="0.25">
      <c r="A185" s="7"/>
      <c r="B185" t="str">
        <f>_xlfn.XLOOKUP(Export[[#This Row],[store]],Table2[store '#],Table2[Franchise])</f>
        <v>Portland</v>
      </c>
      <c r="C185">
        <v>3498</v>
      </c>
      <c r="D185" t="s">
        <v>38</v>
      </c>
      <c r="E185" t="s">
        <v>39</v>
      </c>
      <c r="F185" s="5">
        <v>29.99</v>
      </c>
      <c r="G185" s="5">
        <v>29.99</v>
      </c>
    </row>
    <row r="186" spans="1:7" x14ac:dyDescent="0.25">
      <c r="A186" s="7"/>
      <c r="B186" t="str">
        <f>_xlfn.XLOOKUP(Export[[#This Row],[store]],Table2[store '#],Table2[Franchise])</f>
        <v>Portland</v>
      </c>
      <c r="C186">
        <v>3498</v>
      </c>
      <c r="D186" t="s">
        <v>61</v>
      </c>
      <c r="E186" t="s">
        <v>62</v>
      </c>
      <c r="F186" s="5">
        <v>20.99</v>
      </c>
      <c r="G186" s="5">
        <v>20.99</v>
      </c>
    </row>
    <row r="187" spans="1:7" x14ac:dyDescent="0.25">
      <c r="A187" s="7"/>
      <c r="B187" t="str">
        <f>_xlfn.XLOOKUP(Export[[#This Row],[store]],Table2[store '#],Table2[Franchise])</f>
        <v>Portland</v>
      </c>
      <c r="C187">
        <v>3498</v>
      </c>
      <c r="D187" t="s">
        <v>40</v>
      </c>
      <c r="E187" t="s">
        <v>41</v>
      </c>
      <c r="F187" s="5">
        <v>14.99</v>
      </c>
      <c r="G187" s="5">
        <v>14.99</v>
      </c>
    </row>
    <row r="188" spans="1:7" x14ac:dyDescent="0.25">
      <c r="A188" s="7"/>
      <c r="B188" t="str">
        <f>_xlfn.XLOOKUP(Export[[#This Row],[store]],Table2[store '#],Table2[Franchise])</f>
        <v>Portland</v>
      </c>
      <c r="C188">
        <v>3498</v>
      </c>
      <c r="D188" t="s">
        <v>63</v>
      </c>
      <c r="E188" t="s">
        <v>64</v>
      </c>
      <c r="F188" s="5">
        <v>25.98</v>
      </c>
      <c r="G188" s="5">
        <v>25.98</v>
      </c>
    </row>
    <row r="189" spans="1:7" x14ac:dyDescent="0.25">
      <c r="A189" s="7"/>
      <c r="B189" t="str">
        <f>_xlfn.XLOOKUP(Export[[#This Row],[store]],Table2[store '#],Table2[Franchise])</f>
        <v>Portland</v>
      </c>
      <c r="C189">
        <v>4778</v>
      </c>
      <c r="D189" t="s">
        <v>18</v>
      </c>
      <c r="E189" t="s">
        <v>19</v>
      </c>
      <c r="F189" s="5">
        <v>13.99</v>
      </c>
      <c r="G189" s="5">
        <v>13.99</v>
      </c>
    </row>
    <row r="190" spans="1:7" x14ac:dyDescent="0.25">
      <c r="A190" s="7"/>
      <c r="B190" t="str">
        <f>_xlfn.XLOOKUP(Export[[#This Row],[store]],Table2[store '#],Table2[Franchise])</f>
        <v>Portland</v>
      </c>
      <c r="C190">
        <v>4778</v>
      </c>
      <c r="D190" t="s">
        <v>20</v>
      </c>
      <c r="E190" t="s">
        <v>21</v>
      </c>
      <c r="F190" s="5">
        <v>4.99</v>
      </c>
      <c r="G190" s="5">
        <v>4.99</v>
      </c>
    </row>
    <row r="191" spans="1:7" x14ac:dyDescent="0.25">
      <c r="A191" s="7"/>
      <c r="B191" t="str">
        <f>_xlfn.XLOOKUP(Export[[#This Row],[store]],Table2[store '#],Table2[Franchise])</f>
        <v>Portland</v>
      </c>
      <c r="C191">
        <v>4778</v>
      </c>
      <c r="D191" t="s">
        <v>6</v>
      </c>
      <c r="E191" t="s">
        <v>7</v>
      </c>
      <c r="F191" s="5">
        <v>6.99</v>
      </c>
      <c r="G191" s="5">
        <v>6.99</v>
      </c>
    </row>
    <row r="192" spans="1:7" x14ac:dyDescent="0.25">
      <c r="A192" s="7"/>
      <c r="B192" t="str">
        <f>_xlfn.XLOOKUP(Export[[#This Row],[store]],Table2[store '#],Table2[Franchise])</f>
        <v>Portland</v>
      </c>
      <c r="C192">
        <v>4778</v>
      </c>
      <c r="D192" t="s">
        <v>22</v>
      </c>
      <c r="E192" t="s">
        <v>23</v>
      </c>
      <c r="F192" s="5">
        <v>9.99</v>
      </c>
      <c r="G192" s="5">
        <v>9.99</v>
      </c>
    </row>
    <row r="193" spans="1:7" x14ac:dyDescent="0.25">
      <c r="A193" s="7"/>
      <c r="B193" t="str">
        <f>_xlfn.XLOOKUP(Export[[#This Row],[store]],Table2[store '#],Table2[Franchise])</f>
        <v>Portland</v>
      </c>
      <c r="C193">
        <v>4778</v>
      </c>
      <c r="D193" t="s">
        <v>24</v>
      </c>
      <c r="E193" t="s">
        <v>25</v>
      </c>
      <c r="F193" s="5">
        <v>12.99</v>
      </c>
      <c r="G193" s="5">
        <v>12.99</v>
      </c>
    </row>
    <row r="194" spans="1:7" x14ac:dyDescent="0.25">
      <c r="A194" s="7"/>
      <c r="B194" t="str">
        <f>_xlfn.XLOOKUP(Export[[#This Row],[store]],Table2[store '#],Table2[Franchise])</f>
        <v>Portland</v>
      </c>
      <c r="C194">
        <v>4778</v>
      </c>
      <c r="D194" t="s">
        <v>46</v>
      </c>
      <c r="E194" t="s">
        <v>47</v>
      </c>
      <c r="F194" s="5">
        <v>14.99</v>
      </c>
      <c r="G194" s="5">
        <v>14.99</v>
      </c>
    </row>
    <row r="195" spans="1:7" x14ac:dyDescent="0.25">
      <c r="A195" s="7"/>
      <c r="B195" t="str">
        <f>_xlfn.XLOOKUP(Export[[#This Row],[store]],Table2[store '#],Table2[Franchise])</f>
        <v>Portland</v>
      </c>
      <c r="C195">
        <v>4778</v>
      </c>
      <c r="D195" t="s">
        <v>26</v>
      </c>
      <c r="E195" t="s">
        <v>27</v>
      </c>
      <c r="F195" s="5">
        <v>15.99</v>
      </c>
      <c r="G195" s="5">
        <v>15.99</v>
      </c>
    </row>
    <row r="196" spans="1:7" x14ac:dyDescent="0.25">
      <c r="A196" s="7"/>
      <c r="B196" t="str">
        <f>_xlfn.XLOOKUP(Export[[#This Row],[store]],Table2[store '#],Table2[Franchise])</f>
        <v>Portland</v>
      </c>
      <c r="C196">
        <v>4778</v>
      </c>
      <c r="D196" t="s">
        <v>28</v>
      </c>
      <c r="E196" t="s">
        <v>29</v>
      </c>
      <c r="F196" s="6">
        <v>10</v>
      </c>
      <c r="G196" s="6">
        <v>10</v>
      </c>
    </row>
    <row r="197" spans="1:7" x14ac:dyDescent="0.25">
      <c r="A197" s="7"/>
      <c r="B197" t="str">
        <f>_xlfn.XLOOKUP(Export[[#This Row],[store]],Table2[store '#],Table2[Franchise])</f>
        <v>Portland</v>
      </c>
      <c r="C197">
        <v>4778</v>
      </c>
      <c r="D197" t="s">
        <v>32</v>
      </c>
      <c r="E197" t="s">
        <v>48</v>
      </c>
      <c r="F197" s="5">
        <v>18.989999999999998</v>
      </c>
      <c r="G197" s="5">
        <v>18.989999999999998</v>
      </c>
    </row>
    <row r="198" spans="1:7" x14ac:dyDescent="0.25">
      <c r="A198" s="7"/>
      <c r="B198" t="str">
        <f>_xlfn.XLOOKUP(Export[[#This Row],[store]],Table2[store '#],Table2[Franchise])</f>
        <v>Portland</v>
      </c>
      <c r="C198">
        <v>4778</v>
      </c>
      <c r="D198" t="s">
        <v>49</v>
      </c>
      <c r="E198" t="s">
        <v>50</v>
      </c>
      <c r="F198" s="5">
        <v>9.99</v>
      </c>
      <c r="G198" s="5">
        <v>9.99</v>
      </c>
    </row>
    <row r="199" spans="1:7" x14ac:dyDescent="0.25">
      <c r="A199" s="7"/>
      <c r="B199" t="str">
        <f>_xlfn.XLOOKUP(Export[[#This Row],[store]],Table2[store '#],Table2[Franchise])</f>
        <v>Portland</v>
      </c>
      <c r="C199">
        <v>4778</v>
      </c>
      <c r="D199" t="s">
        <v>51</v>
      </c>
      <c r="E199" t="s">
        <v>52</v>
      </c>
      <c r="F199" s="5">
        <v>13.99</v>
      </c>
      <c r="G199" s="5">
        <v>13.99</v>
      </c>
    </row>
    <row r="200" spans="1:7" x14ac:dyDescent="0.25">
      <c r="A200" s="7"/>
      <c r="B200" t="str">
        <f>_xlfn.XLOOKUP(Export[[#This Row],[store]],Table2[store '#],Table2[Franchise])</f>
        <v>Portland</v>
      </c>
      <c r="C200">
        <v>4778</v>
      </c>
      <c r="D200" t="s">
        <v>53</v>
      </c>
      <c r="E200" t="s">
        <v>54</v>
      </c>
      <c r="F200" s="5">
        <v>17.989999999999998</v>
      </c>
      <c r="G200" s="5">
        <v>17.989999999999998</v>
      </c>
    </row>
    <row r="201" spans="1:7" x14ac:dyDescent="0.25">
      <c r="A201" s="7"/>
      <c r="B201" t="str">
        <f>_xlfn.XLOOKUP(Export[[#This Row],[store]],Table2[store '#],Table2[Franchise])</f>
        <v>Portland</v>
      </c>
      <c r="C201">
        <v>4778</v>
      </c>
      <c r="D201" t="s">
        <v>55</v>
      </c>
      <c r="E201" t="s">
        <v>56</v>
      </c>
      <c r="F201" s="5">
        <v>25.98</v>
      </c>
      <c r="G201" s="5">
        <v>25.98</v>
      </c>
    </row>
    <row r="202" spans="1:7" x14ac:dyDescent="0.25">
      <c r="A202" s="7"/>
      <c r="B202" t="str">
        <f>_xlfn.XLOOKUP(Export[[#This Row],[store]],Table2[store '#],Table2[Franchise])</f>
        <v>Portland</v>
      </c>
      <c r="C202">
        <v>4778</v>
      </c>
      <c r="D202" t="s">
        <v>36</v>
      </c>
      <c r="E202" t="s">
        <v>37</v>
      </c>
      <c r="F202" s="5">
        <v>15.99</v>
      </c>
      <c r="G202" s="5">
        <v>15.99</v>
      </c>
    </row>
    <row r="203" spans="1:7" x14ac:dyDescent="0.25">
      <c r="A203" s="7"/>
      <c r="B203" t="str">
        <f>_xlfn.XLOOKUP(Export[[#This Row],[store]],Table2[store '#],Table2[Franchise])</f>
        <v>Portland</v>
      </c>
      <c r="C203">
        <v>4778</v>
      </c>
      <c r="D203" t="s">
        <v>38</v>
      </c>
      <c r="E203" t="s">
        <v>39</v>
      </c>
      <c r="F203" s="5">
        <v>29.99</v>
      </c>
      <c r="G203" s="5">
        <v>29.99</v>
      </c>
    </row>
    <row r="204" spans="1:7" x14ac:dyDescent="0.25">
      <c r="A204" s="7"/>
      <c r="B204" t="str">
        <f>_xlfn.XLOOKUP(Export[[#This Row],[store]],Table2[store '#],Table2[Franchise])</f>
        <v>Portland</v>
      </c>
      <c r="C204">
        <v>4778</v>
      </c>
      <c r="D204" t="s">
        <v>57</v>
      </c>
      <c r="E204" t="s">
        <v>58</v>
      </c>
      <c r="F204" s="5">
        <v>20.99</v>
      </c>
      <c r="G204" s="5">
        <v>20.99</v>
      </c>
    </row>
    <row r="205" spans="1:7" x14ac:dyDescent="0.25">
      <c r="A205" s="7"/>
      <c r="B205" t="str">
        <f>_xlfn.XLOOKUP(Export[[#This Row],[store]],Table2[store '#],Table2[Franchise])</f>
        <v>Portland</v>
      </c>
      <c r="C205">
        <v>4778</v>
      </c>
      <c r="D205" t="s">
        <v>40</v>
      </c>
      <c r="E205" t="s">
        <v>41</v>
      </c>
      <c r="F205" s="5">
        <v>14.99</v>
      </c>
      <c r="G205" s="5">
        <v>14.99</v>
      </c>
    </row>
    <row r="206" spans="1:7" x14ac:dyDescent="0.25">
      <c r="A206" s="7"/>
      <c r="B206" t="str">
        <f>_xlfn.XLOOKUP(Export[[#This Row],[store]],Table2[store '#],Table2[Franchise])</f>
        <v>Tacoma</v>
      </c>
      <c r="C206">
        <v>2208</v>
      </c>
      <c r="D206" t="s">
        <v>18</v>
      </c>
      <c r="E206" t="s">
        <v>19</v>
      </c>
      <c r="F206" s="5">
        <v>13.99</v>
      </c>
      <c r="G206" s="5">
        <v>13.99</v>
      </c>
    </row>
    <row r="207" spans="1:7" x14ac:dyDescent="0.25">
      <c r="A207" s="7"/>
      <c r="B207" t="str">
        <f>_xlfn.XLOOKUP(Export[[#This Row],[store]],Table2[store '#],Table2[Franchise])</f>
        <v>Tacoma</v>
      </c>
      <c r="C207">
        <v>2208</v>
      </c>
      <c r="D207" t="s">
        <v>20</v>
      </c>
      <c r="E207" t="s">
        <v>21</v>
      </c>
      <c r="F207" s="5">
        <v>4.99</v>
      </c>
      <c r="G207" s="5">
        <v>4.99</v>
      </c>
    </row>
    <row r="208" spans="1:7" x14ac:dyDescent="0.25">
      <c r="A208" s="7"/>
      <c r="B208" t="str">
        <f>_xlfn.XLOOKUP(Export[[#This Row],[store]],Table2[store '#],Table2[Franchise])</f>
        <v>Tacoma</v>
      </c>
      <c r="C208">
        <v>2208</v>
      </c>
      <c r="D208" t="s">
        <v>6</v>
      </c>
      <c r="E208" t="s">
        <v>7</v>
      </c>
      <c r="F208" s="5">
        <v>6.99</v>
      </c>
      <c r="G208" s="5">
        <v>6.99</v>
      </c>
    </row>
    <row r="209" spans="1:7" x14ac:dyDescent="0.25">
      <c r="A209" s="7"/>
      <c r="B209" t="str">
        <f>_xlfn.XLOOKUP(Export[[#This Row],[store]],Table2[store '#],Table2[Franchise])</f>
        <v>Tacoma</v>
      </c>
      <c r="C209">
        <v>2208</v>
      </c>
      <c r="D209" t="s">
        <v>22</v>
      </c>
      <c r="E209" t="s">
        <v>23</v>
      </c>
      <c r="F209" s="5">
        <v>9.99</v>
      </c>
      <c r="G209" s="5">
        <v>9.99</v>
      </c>
    </row>
    <row r="210" spans="1:7" x14ac:dyDescent="0.25">
      <c r="A210" s="7"/>
      <c r="B210" t="str">
        <f>_xlfn.XLOOKUP(Export[[#This Row],[store]],Table2[store '#],Table2[Franchise])</f>
        <v>Tacoma</v>
      </c>
      <c r="C210">
        <v>2208</v>
      </c>
      <c r="D210" t="s">
        <v>24</v>
      </c>
      <c r="E210" t="s">
        <v>25</v>
      </c>
      <c r="F210" s="5">
        <v>12.99</v>
      </c>
      <c r="G210" s="5">
        <v>12.99</v>
      </c>
    </row>
    <row r="211" spans="1:7" x14ac:dyDescent="0.25">
      <c r="A211" s="7"/>
      <c r="B211" t="str">
        <f>_xlfn.XLOOKUP(Export[[#This Row],[store]],Table2[store '#],Table2[Franchise])</f>
        <v>Tacoma</v>
      </c>
      <c r="C211">
        <v>2208</v>
      </c>
      <c r="D211" t="s">
        <v>26</v>
      </c>
      <c r="E211" t="s">
        <v>27</v>
      </c>
      <c r="F211" s="5">
        <v>15.99</v>
      </c>
      <c r="G211" s="5">
        <v>15.99</v>
      </c>
    </row>
    <row r="212" spans="1:7" x14ac:dyDescent="0.25">
      <c r="A212" s="7"/>
      <c r="B212" t="str">
        <f>_xlfn.XLOOKUP(Export[[#This Row],[store]],Table2[store '#],Table2[Franchise])</f>
        <v>Tacoma</v>
      </c>
      <c r="C212">
        <v>2208</v>
      </c>
      <c r="D212" t="s">
        <v>28</v>
      </c>
      <c r="E212" t="s">
        <v>29</v>
      </c>
      <c r="F212" s="6">
        <v>10</v>
      </c>
      <c r="G212" s="6">
        <v>10</v>
      </c>
    </row>
    <row r="213" spans="1:7" x14ac:dyDescent="0.25">
      <c r="A213" s="7"/>
      <c r="B213" t="str">
        <f>_xlfn.XLOOKUP(Export[[#This Row],[store]],Table2[store '#],Table2[Franchise])</f>
        <v>Tacoma</v>
      </c>
      <c r="C213">
        <v>2208</v>
      </c>
      <c r="D213" t="s">
        <v>30</v>
      </c>
      <c r="E213" t="s">
        <v>31</v>
      </c>
      <c r="F213" s="5">
        <v>15.99</v>
      </c>
      <c r="G213" s="5">
        <v>15.99</v>
      </c>
    </row>
    <row r="214" spans="1:7" x14ac:dyDescent="0.25">
      <c r="A214" s="7"/>
      <c r="B214" t="str">
        <f>_xlfn.XLOOKUP(Export[[#This Row],[store]],Table2[store '#],Table2[Franchise])</f>
        <v>Tacoma</v>
      </c>
      <c r="C214">
        <v>2208</v>
      </c>
      <c r="D214" t="s">
        <v>32</v>
      </c>
      <c r="E214" t="s">
        <v>33</v>
      </c>
      <c r="F214" s="5">
        <v>18.989999999999998</v>
      </c>
      <c r="G214" s="5">
        <v>18.989999999999998</v>
      </c>
    </row>
    <row r="215" spans="1:7" x14ac:dyDescent="0.25">
      <c r="A215" s="7"/>
      <c r="B215" t="str">
        <f>_xlfn.XLOOKUP(Export[[#This Row],[store]],Table2[store '#],Table2[Franchise])</f>
        <v>Tacoma</v>
      </c>
      <c r="C215">
        <v>2208</v>
      </c>
      <c r="D215" t="s">
        <v>34</v>
      </c>
      <c r="E215" t="s">
        <v>35</v>
      </c>
      <c r="F215" s="5">
        <v>25.99</v>
      </c>
      <c r="G215" s="5">
        <v>25.99</v>
      </c>
    </row>
    <row r="216" spans="1:7" x14ac:dyDescent="0.25">
      <c r="A216" s="7"/>
      <c r="B216" t="str">
        <f>_xlfn.XLOOKUP(Export[[#This Row],[store]],Table2[store '#],Table2[Franchise])</f>
        <v>Tacoma</v>
      </c>
      <c r="C216">
        <v>2208</v>
      </c>
      <c r="D216" t="s">
        <v>36</v>
      </c>
      <c r="E216" t="s">
        <v>37</v>
      </c>
      <c r="F216" s="5">
        <v>15.99</v>
      </c>
      <c r="G216" s="5">
        <v>15.99</v>
      </c>
    </row>
    <row r="217" spans="1:7" x14ac:dyDescent="0.25">
      <c r="A217" s="7"/>
      <c r="B217" t="str">
        <f>_xlfn.XLOOKUP(Export[[#This Row],[store]],Table2[store '#],Table2[Franchise])</f>
        <v>Tacoma</v>
      </c>
      <c r="C217">
        <v>2208</v>
      </c>
      <c r="D217" t="s">
        <v>38</v>
      </c>
      <c r="E217" t="s">
        <v>39</v>
      </c>
      <c r="F217" s="5">
        <v>29.99</v>
      </c>
      <c r="G217" s="5">
        <v>29.99</v>
      </c>
    </row>
    <row r="218" spans="1:7" x14ac:dyDescent="0.25">
      <c r="A218" s="7"/>
      <c r="B218" t="str">
        <f>_xlfn.XLOOKUP(Export[[#This Row],[store]],Table2[store '#],Table2[Franchise])</f>
        <v>Tacoma</v>
      </c>
      <c r="C218">
        <v>2208</v>
      </c>
      <c r="D218" t="s">
        <v>40</v>
      </c>
      <c r="E218" t="s">
        <v>41</v>
      </c>
      <c r="F218" s="5">
        <v>14.99</v>
      </c>
      <c r="G218" s="5">
        <v>14.99</v>
      </c>
    </row>
    <row r="219" spans="1:7" x14ac:dyDescent="0.25">
      <c r="A219" s="7"/>
      <c r="B219" t="str">
        <f>_xlfn.XLOOKUP(Export[[#This Row],[store]],Table2[store '#],Table2[Franchise])</f>
        <v>Tacoma</v>
      </c>
      <c r="C219">
        <v>2208</v>
      </c>
      <c r="D219" t="s">
        <v>42</v>
      </c>
      <c r="E219" t="s">
        <v>43</v>
      </c>
    </row>
    <row r="220" spans="1:7" x14ac:dyDescent="0.25">
      <c r="A220" s="7"/>
      <c r="B220" t="str">
        <f>_xlfn.XLOOKUP(Export[[#This Row],[store]],Table2[store '#],Table2[Franchise])</f>
        <v>Tacoma</v>
      </c>
      <c r="C220">
        <v>2208</v>
      </c>
      <c r="D220" t="s">
        <v>44</v>
      </c>
      <c r="E220" t="s">
        <v>45</v>
      </c>
    </row>
    <row r="221" spans="1:7" x14ac:dyDescent="0.25">
      <c r="A221" s="7"/>
      <c r="B221" t="str">
        <f>_xlfn.XLOOKUP(Export[[#This Row],[store]],Table2[store '#],Table2[Franchise])</f>
        <v>Tacoma</v>
      </c>
      <c r="C221">
        <v>2325</v>
      </c>
      <c r="D221" t="s">
        <v>18</v>
      </c>
      <c r="E221" t="s">
        <v>19</v>
      </c>
      <c r="F221" s="5">
        <v>13.99</v>
      </c>
      <c r="G221" s="5">
        <v>13.99</v>
      </c>
    </row>
    <row r="222" spans="1:7" x14ac:dyDescent="0.25">
      <c r="A222" s="7"/>
      <c r="B222" t="str">
        <f>_xlfn.XLOOKUP(Export[[#This Row],[store]],Table2[store '#],Table2[Franchise])</f>
        <v>Tacoma</v>
      </c>
      <c r="C222">
        <v>2325</v>
      </c>
      <c r="D222" t="s">
        <v>20</v>
      </c>
      <c r="E222" t="s">
        <v>21</v>
      </c>
      <c r="F222" s="5">
        <v>4.99</v>
      </c>
      <c r="G222" s="5">
        <v>4.99</v>
      </c>
    </row>
    <row r="223" spans="1:7" x14ac:dyDescent="0.25">
      <c r="A223" s="7"/>
      <c r="B223" t="str">
        <f>_xlfn.XLOOKUP(Export[[#This Row],[store]],Table2[store '#],Table2[Franchise])</f>
        <v>Tacoma</v>
      </c>
      <c r="C223">
        <v>2325</v>
      </c>
      <c r="D223" t="s">
        <v>6</v>
      </c>
      <c r="E223" t="s">
        <v>7</v>
      </c>
      <c r="F223" s="5">
        <v>6.99</v>
      </c>
      <c r="G223" s="5">
        <v>6.99</v>
      </c>
    </row>
    <row r="224" spans="1:7" x14ac:dyDescent="0.25">
      <c r="A224" s="7"/>
      <c r="B224" t="str">
        <f>_xlfn.XLOOKUP(Export[[#This Row],[store]],Table2[store '#],Table2[Franchise])</f>
        <v>Tacoma</v>
      </c>
      <c r="C224">
        <v>2325</v>
      </c>
      <c r="D224" t="s">
        <v>22</v>
      </c>
      <c r="E224" t="s">
        <v>23</v>
      </c>
      <c r="F224" s="5">
        <v>9.99</v>
      </c>
      <c r="G224" s="5">
        <v>9.99</v>
      </c>
    </row>
    <row r="225" spans="1:7" x14ac:dyDescent="0.25">
      <c r="A225" s="7"/>
      <c r="B225" t="str">
        <f>_xlfn.XLOOKUP(Export[[#This Row],[store]],Table2[store '#],Table2[Franchise])</f>
        <v>Tacoma</v>
      </c>
      <c r="C225">
        <v>2325</v>
      </c>
      <c r="D225" t="s">
        <v>24</v>
      </c>
      <c r="E225" t="s">
        <v>25</v>
      </c>
      <c r="F225" s="5">
        <v>12.99</v>
      </c>
      <c r="G225" s="5">
        <v>12.99</v>
      </c>
    </row>
    <row r="226" spans="1:7" x14ac:dyDescent="0.25">
      <c r="A226" s="7"/>
      <c r="B226" t="str">
        <f>_xlfn.XLOOKUP(Export[[#This Row],[store]],Table2[store '#],Table2[Franchise])</f>
        <v>Tacoma</v>
      </c>
      <c r="C226">
        <v>2325</v>
      </c>
      <c r="D226" t="s">
        <v>26</v>
      </c>
      <c r="E226" t="s">
        <v>27</v>
      </c>
      <c r="F226" s="5">
        <v>15.99</v>
      </c>
      <c r="G226" s="5">
        <v>15.99</v>
      </c>
    </row>
    <row r="227" spans="1:7" x14ac:dyDescent="0.25">
      <c r="A227" s="7"/>
      <c r="B227" t="str">
        <f>_xlfn.XLOOKUP(Export[[#This Row],[store]],Table2[store '#],Table2[Franchise])</f>
        <v>Tacoma</v>
      </c>
      <c r="C227">
        <v>2325</v>
      </c>
      <c r="D227" t="s">
        <v>28</v>
      </c>
      <c r="E227" t="s">
        <v>29</v>
      </c>
      <c r="F227" s="6">
        <v>10</v>
      </c>
      <c r="G227" s="6">
        <v>10</v>
      </c>
    </row>
    <row r="228" spans="1:7" x14ac:dyDescent="0.25">
      <c r="A228" s="7"/>
      <c r="B228" t="str">
        <f>_xlfn.XLOOKUP(Export[[#This Row],[store]],Table2[store '#],Table2[Franchise])</f>
        <v>Tacoma</v>
      </c>
      <c r="C228">
        <v>2325</v>
      </c>
      <c r="D228" t="s">
        <v>30</v>
      </c>
      <c r="E228" t="s">
        <v>31</v>
      </c>
      <c r="F228" s="5">
        <v>15.99</v>
      </c>
      <c r="G228" s="5">
        <v>15.99</v>
      </c>
    </row>
    <row r="229" spans="1:7" x14ac:dyDescent="0.25">
      <c r="A229" s="7"/>
      <c r="B229" t="str">
        <f>_xlfn.XLOOKUP(Export[[#This Row],[store]],Table2[store '#],Table2[Franchise])</f>
        <v>Tacoma</v>
      </c>
      <c r="C229">
        <v>2325</v>
      </c>
      <c r="D229" t="s">
        <v>32</v>
      </c>
      <c r="E229" t="s">
        <v>33</v>
      </c>
      <c r="F229" s="5">
        <v>18.989999999999998</v>
      </c>
      <c r="G229" s="5">
        <v>18.989999999999998</v>
      </c>
    </row>
    <row r="230" spans="1:7" x14ac:dyDescent="0.25">
      <c r="A230" s="7"/>
      <c r="B230" t="str">
        <f>_xlfn.XLOOKUP(Export[[#This Row],[store]],Table2[store '#],Table2[Franchise])</f>
        <v>Tacoma</v>
      </c>
      <c r="C230">
        <v>2325</v>
      </c>
      <c r="D230" t="s">
        <v>34</v>
      </c>
      <c r="E230" t="s">
        <v>35</v>
      </c>
      <c r="F230" s="5">
        <v>25.99</v>
      </c>
      <c r="G230" s="5">
        <v>25.99</v>
      </c>
    </row>
    <row r="231" spans="1:7" x14ac:dyDescent="0.25">
      <c r="A231" s="7"/>
      <c r="B231" t="str">
        <f>_xlfn.XLOOKUP(Export[[#This Row],[store]],Table2[store '#],Table2[Franchise])</f>
        <v>Tacoma</v>
      </c>
      <c r="C231">
        <v>2325</v>
      </c>
      <c r="D231" t="s">
        <v>36</v>
      </c>
      <c r="E231" t="s">
        <v>37</v>
      </c>
      <c r="F231" s="5">
        <v>15.99</v>
      </c>
      <c r="G231" s="5">
        <v>15.99</v>
      </c>
    </row>
    <row r="232" spans="1:7" x14ac:dyDescent="0.25">
      <c r="A232" s="7"/>
      <c r="B232" t="str">
        <f>_xlfn.XLOOKUP(Export[[#This Row],[store]],Table2[store '#],Table2[Franchise])</f>
        <v>Tacoma</v>
      </c>
      <c r="C232">
        <v>2325</v>
      </c>
      <c r="D232" t="s">
        <v>38</v>
      </c>
      <c r="E232" t="s">
        <v>39</v>
      </c>
      <c r="F232" s="5">
        <v>29.99</v>
      </c>
      <c r="G232" s="5">
        <v>29.99</v>
      </c>
    </row>
    <row r="233" spans="1:7" x14ac:dyDescent="0.25">
      <c r="A233" s="7"/>
      <c r="B233" t="str">
        <f>_xlfn.XLOOKUP(Export[[#This Row],[store]],Table2[store '#],Table2[Franchise])</f>
        <v>Tacoma</v>
      </c>
      <c r="C233">
        <v>2325</v>
      </c>
      <c r="D233" t="s">
        <v>40</v>
      </c>
      <c r="E233" t="s">
        <v>41</v>
      </c>
      <c r="F233" s="5">
        <v>14.99</v>
      </c>
      <c r="G233" s="5">
        <v>14.99</v>
      </c>
    </row>
    <row r="234" spans="1:7" x14ac:dyDescent="0.25">
      <c r="A234" s="7"/>
      <c r="B234" t="str">
        <f>_xlfn.XLOOKUP(Export[[#This Row],[store]],Table2[store '#],Table2[Franchise])</f>
        <v>Tacoma</v>
      </c>
      <c r="C234">
        <v>2325</v>
      </c>
      <c r="D234" t="s">
        <v>42</v>
      </c>
      <c r="E234" t="s">
        <v>43</v>
      </c>
    </row>
    <row r="235" spans="1:7" x14ac:dyDescent="0.25">
      <c r="A235" s="7"/>
      <c r="B235" t="str">
        <f>_xlfn.XLOOKUP(Export[[#This Row],[store]],Table2[store '#],Table2[Franchise])</f>
        <v>Tacoma</v>
      </c>
      <c r="C235">
        <v>2325</v>
      </c>
      <c r="D235" t="s">
        <v>44</v>
      </c>
      <c r="E235" t="s">
        <v>45</v>
      </c>
    </row>
    <row r="236" spans="1:7" x14ac:dyDescent="0.25">
      <c r="A236" s="7"/>
      <c r="B236" t="str">
        <f>_xlfn.XLOOKUP(Export[[#This Row],[store]],Table2[store '#],Table2[Franchise])</f>
        <v>Tacoma</v>
      </c>
      <c r="C236">
        <v>2478</v>
      </c>
      <c r="D236" t="s">
        <v>18</v>
      </c>
      <c r="E236" t="s">
        <v>19</v>
      </c>
      <c r="F236" s="5">
        <v>13.99</v>
      </c>
      <c r="G236" s="5">
        <v>13.99</v>
      </c>
    </row>
    <row r="237" spans="1:7" x14ac:dyDescent="0.25">
      <c r="A237" s="7"/>
      <c r="B237" t="str">
        <f>_xlfn.XLOOKUP(Export[[#This Row],[store]],Table2[store '#],Table2[Franchise])</f>
        <v>Tacoma</v>
      </c>
      <c r="C237">
        <v>2478</v>
      </c>
      <c r="D237" t="s">
        <v>20</v>
      </c>
      <c r="E237" t="s">
        <v>21</v>
      </c>
      <c r="F237" s="5">
        <v>4.99</v>
      </c>
      <c r="G237" s="5">
        <v>4.99</v>
      </c>
    </row>
    <row r="238" spans="1:7" x14ac:dyDescent="0.25">
      <c r="A238" s="7"/>
      <c r="B238" t="str">
        <f>_xlfn.XLOOKUP(Export[[#This Row],[store]],Table2[store '#],Table2[Franchise])</f>
        <v>Tacoma</v>
      </c>
      <c r="C238">
        <v>2478</v>
      </c>
      <c r="D238" t="s">
        <v>6</v>
      </c>
      <c r="E238" t="s">
        <v>7</v>
      </c>
      <c r="F238" s="5">
        <v>6.99</v>
      </c>
      <c r="G238" s="5">
        <v>6.99</v>
      </c>
    </row>
    <row r="239" spans="1:7" x14ac:dyDescent="0.25">
      <c r="A239" s="7"/>
      <c r="B239" t="str">
        <f>_xlfn.XLOOKUP(Export[[#This Row],[store]],Table2[store '#],Table2[Franchise])</f>
        <v>Tacoma</v>
      </c>
      <c r="C239">
        <v>2478</v>
      </c>
      <c r="D239" t="s">
        <v>22</v>
      </c>
      <c r="E239" t="s">
        <v>23</v>
      </c>
      <c r="F239" s="5">
        <v>9.99</v>
      </c>
      <c r="G239" s="5">
        <v>9.99</v>
      </c>
    </row>
    <row r="240" spans="1:7" x14ac:dyDescent="0.25">
      <c r="A240" s="7"/>
      <c r="B240" t="str">
        <f>_xlfn.XLOOKUP(Export[[#This Row],[store]],Table2[store '#],Table2[Franchise])</f>
        <v>Tacoma</v>
      </c>
      <c r="C240">
        <v>2478</v>
      </c>
      <c r="D240" t="s">
        <v>24</v>
      </c>
      <c r="E240" t="s">
        <v>25</v>
      </c>
      <c r="F240" s="5">
        <v>12.99</v>
      </c>
      <c r="G240" s="5">
        <v>12.99</v>
      </c>
    </row>
    <row r="241" spans="1:7" x14ac:dyDescent="0.25">
      <c r="A241" s="7"/>
      <c r="B241" t="str">
        <f>_xlfn.XLOOKUP(Export[[#This Row],[store]],Table2[store '#],Table2[Franchise])</f>
        <v>Tacoma</v>
      </c>
      <c r="C241">
        <v>2478</v>
      </c>
      <c r="D241" t="s">
        <v>26</v>
      </c>
      <c r="E241" t="s">
        <v>27</v>
      </c>
      <c r="F241" s="5">
        <v>15.99</v>
      </c>
      <c r="G241" s="5">
        <v>15.99</v>
      </c>
    </row>
    <row r="242" spans="1:7" x14ac:dyDescent="0.25">
      <c r="A242" s="7"/>
      <c r="B242" t="str">
        <f>_xlfn.XLOOKUP(Export[[#This Row],[store]],Table2[store '#],Table2[Franchise])</f>
        <v>Tacoma</v>
      </c>
      <c r="C242">
        <v>2478</v>
      </c>
      <c r="D242" t="s">
        <v>28</v>
      </c>
      <c r="E242" t="s">
        <v>29</v>
      </c>
      <c r="F242" s="6">
        <v>10</v>
      </c>
      <c r="G242" s="6">
        <v>10</v>
      </c>
    </row>
    <row r="243" spans="1:7" x14ac:dyDescent="0.25">
      <c r="A243" s="7"/>
      <c r="B243" t="str">
        <f>_xlfn.XLOOKUP(Export[[#This Row],[store]],Table2[store '#],Table2[Franchise])</f>
        <v>Tacoma</v>
      </c>
      <c r="C243">
        <v>2478</v>
      </c>
      <c r="D243" t="s">
        <v>30</v>
      </c>
      <c r="E243" t="s">
        <v>31</v>
      </c>
      <c r="F243" s="5">
        <v>15.99</v>
      </c>
      <c r="G243" s="5">
        <v>15.99</v>
      </c>
    </row>
    <row r="244" spans="1:7" x14ac:dyDescent="0.25">
      <c r="A244" s="7"/>
      <c r="B244" t="str">
        <f>_xlfn.XLOOKUP(Export[[#This Row],[store]],Table2[store '#],Table2[Franchise])</f>
        <v>Tacoma</v>
      </c>
      <c r="C244">
        <v>2478</v>
      </c>
      <c r="D244" t="s">
        <v>32</v>
      </c>
      <c r="E244" t="s">
        <v>33</v>
      </c>
      <c r="F244" s="5">
        <v>18.989999999999998</v>
      </c>
      <c r="G244" s="5">
        <v>18.989999999999998</v>
      </c>
    </row>
    <row r="245" spans="1:7" x14ac:dyDescent="0.25">
      <c r="A245" s="7"/>
      <c r="B245" t="str">
        <f>_xlfn.XLOOKUP(Export[[#This Row],[store]],Table2[store '#],Table2[Franchise])</f>
        <v>Tacoma</v>
      </c>
      <c r="C245">
        <v>2478</v>
      </c>
      <c r="D245" t="s">
        <v>34</v>
      </c>
      <c r="E245" t="s">
        <v>35</v>
      </c>
      <c r="F245" s="5">
        <v>25.99</v>
      </c>
      <c r="G245" s="5">
        <v>25.99</v>
      </c>
    </row>
    <row r="246" spans="1:7" x14ac:dyDescent="0.25">
      <c r="A246" s="7"/>
      <c r="B246" t="str">
        <f>_xlfn.XLOOKUP(Export[[#This Row],[store]],Table2[store '#],Table2[Franchise])</f>
        <v>Tacoma</v>
      </c>
      <c r="C246">
        <v>2478</v>
      </c>
      <c r="D246" t="s">
        <v>36</v>
      </c>
      <c r="E246" t="s">
        <v>37</v>
      </c>
      <c r="F246" s="5">
        <v>15.99</v>
      </c>
      <c r="G246" s="5">
        <v>15.99</v>
      </c>
    </row>
    <row r="247" spans="1:7" x14ac:dyDescent="0.25">
      <c r="A247" s="7"/>
      <c r="B247" t="str">
        <f>_xlfn.XLOOKUP(Export[[#This Row],[store]],Table2[store '#],Table2[Franchise])</f>
        <v>Tacoma</v>
      </c>
      <c r="C247">
        <v>2478</v>
      </c>
      <c r="D247" t="s">
        <v>38</v>
      </c>
      <c r="E247" t="s">
        <v>39</v>
      </c>
      <c r="F247" s="5">
        <v>29.99</v>
      </c>
      <c r="G247" s="5">
        <v>29.99</v>
      </c>
    </row>
    <row r="248" spans="1:7" x14ac:dyDescent="0.25">
      <c r="A248" s="7"/>
      <c r="B248" t="str">
        <f>_xlfn.XLOOKUP(Export[[#This Row],[store]],Table2[store '#],Table2[Franchise])</f>
        <v>Tacoma</v>
      </c>
      <c r="C248">
        <v>2478</v>
      </c>
      <c r="D248" t="s">
        <v>40</v>
      </c>
      <c r="E248" t="s">
        <v>41</v>
      </c>
      <c r="F248" s="5">
        <v>14.99</v>
      </c>
      <c r="G248" s="5">
        <v>14.99</v>
      </c>
    </row>
    <row r="249" spans="1:7" x14ac:dyDescent="0.25">
      <c r="A249" s="7"/>
      <c r="B249" t="str">
        <f>_xlfn.XLOOKUP(Export[[#This Row],[store]],Table2[store '#],Table2[Franchise])</f>
        <v>Tacoma</v>
      </c>
      <c r="C249">
        <v>2478</v>
      </c>
      <c r="D249" t="s">
        <v>42</v>
      </c>
      <c r="E249" t="s">
        <v>43</v>
      </c>
    </row>
    <row r="250" spans="1:7" x14ac:dyDescent="0.25">
      <c r="A250" s="7"/>
      <c r="B250" t="str">
        <f>_xlfn.XLOOKUP(Export[[#This Row],[store]],Table2[store '#],Table2[Franchise])</f>
        <v>Tacoma</v>
      </c>
      <c r="C250">
        <v>2478</v>
      </c>
      <c r="D250" t="s">
        <v>44</v>
      </c>
      <c r="E250" t="s">
        <v>45</v>
      </c>
    </row>
    <row r="251" spans="1:7" x14ac:dyDescent="0.25">
      <c r="A251" s="7"/>
      <c r="B251" t="str">
        <f>_xlfn.XLOOKUP(Export[[#This Row],[store]],Table2[store '#],Table2[Franchise])</f>
        <v>Tacoma</v>
      </c>
      <c r="C251">
        <v>2612</v>
      </c>
      <c r="D251" t="s">
        <v>18</v>
      </c>
      <c r="E251" t="s">
        <v>19</v>
      </c>
      <c r="F251" s="5">
        <v>13.99</v>
      </c>
      <c r="G251" s="5">
        <v>13.99</v>
      </c>
    </row>
    <row r="252" spans="1:7" x14ac:dyDescent="0.25">
      <c r="A252" s="7"/>
      <c r="B252" t="str">
        <f>_xlfn.XLOOKUP(Export[[#This Row],[store]],Table2[store '#],Table2[Franchise])</f>
        <v>Tacoma</v>
      </c>
      <c r="C252">
        <v>2612</v>
      </c>
      <c r="D252" t="s">
        <v>20</v>
      </c>
      <c r="E252" t="s">
        <v>21</v>
      </c>
      <c r="F252" s="5">
        <v>4.99</v>
      </c>
      <c r="G252" s="5">
        <v>4.99</v>
      </c>
    </row>
    <row r="253" spans="1:7" x14ac:dyDescent="0.25">
      <c r="A253" s="7"/>
      <c r="B253" t="str">
        <f>_xlfn.XLOOKUP(Export[[#This Row],[store]],Table2[store '#],Table2[Franchise])</f>
        <v>Tacoma</v>
      </c>
      <c r="C253">
        <v>2612</v>
      </c>
      <c r="D253" t="s">
        <v>6</v>
      </c>
      <c r="E253" t="s">
        <v>7</v>
      </c>
      <c r="F253" s="5">
        <v>6.99</v>
      </c>
      <c r="G253" s="5">
        <v>6.99</v>
      </c>
    </row>
    <row r="254" spans="1:7" x14ac:dyDescent="0.25">
      <c r="A254" s="7"/>
      <c r="B254" t="str">
        <f>_xlfn.XLOOKUP(Export[[#This Row],[store]],Table2[store '#],Table2[Franchise])</f>
        <v>Tacoma</v>
      </c>
      <c r="C254">
        <v>2612</v>
      </c>
      <c r="D254" t="s">
        <v>22</v>
      </c>
      <c r="E254" t="s">
        <v>23</v>
      </c>
      <c r="F254" s="5">
        <v>9.99</v>
      </c>
      <c r="G254" s="5">
        <v>9.99</v>
      </c>
    </row>
    <row r="255" spans="1:7" x14ac:dyDescent="0.25">
      <c r="A255" s="7"/>
      <c r="B255" t="str">
        <f>_xlfn.XLOOKUP(Export[[#This Row],[store]],Table2[store '#],Table2[Franchise])</f>
        <v>Tacoma</v>
      </c>
      <c r="C255">
        <v>2612</v>
      </c>
      <c r="D255" t="s">
        <v>24</v>
      </c>
      <c r="E255" t="s">
        <v>25</v>
      </c>
      <c r="F255" s="5">
        <v>12.99</v>
      </c>
      <c r="G255" s="5">
        <v>12.99</v>
      </c>
    </row>
    <row r="256" spans="1:7" x14ac:dyDescent="0.25">
      <c r="A256" s="7"/>
      <c r="B256" t="str">
        <f>_xlfn.XLOOKUP(Export[[#This Row],[store]],Table2[store '#],Table2[Franchise])</f>
        <v>Tacoma</v>
      </c>
      <c r="C256">
        <v>2612</v>
      </c>
      <c r="D256" t="s">
        <v>26</v>
      </c>
      <c r="E256" t="s">
        <v>27</v>
      </c>
      <c r="F256" s="5">
        <v>15.99</v>
      </c>
      <c r="G256" s="5">
        <v>15.99</v>
      </c>
    </row>
    <row r="257" spans="1:7" x14ac:dyDescent="0.25">
      <c r="A257" s="7"/>
      <c r="B257" t="str">
        <f>_xlfn.XLOOKUP(Export[[#This Row],[store]],Table2[store '#],Table2[Franchise])</f>
        <v>Tacoma</v>
      </c>
      <c r="C257">
        <v>2612</v>
      </c>
      <c r="D257" t="s">
        <v>28</v>
      </c>
      <c r="E257" t="s">
        <v>29</v>
      </c>
      <c r="F257" s="6">
        <v>10</v>
      </c>
      <c r="G257" s="6">
        <v>10</v>
      </c>
    </row>
    <row r="258" spans="1:7" x14ac:dyDescent="0.25">
      <c r="A258" s="7"/>
      <c r="B258" t="str">
        <f>_xlfn.XLOOKUP(Export[[#This Row],[store]],Table2[store '#],Table2[Franchise])</f>
        <v>Tacoma</v>
      </c>
      <c r="C258">
        <v>2612</v>
      </c>
      <c r="D258" t="s">
        <v>30</v>
      </c>
      <c r="E258" t="s">
        <v>31</v>
      </c>
      <c r="F258" s="5">
        <v>15.99</v>
      </c>
      <c r="G258" s="5">
        <v>15.99</v>
      </c>
    </row>
    <row r="259" spans="1:7" x14ac:dyDescent="0.25">
      <c r="A259" s="7"/>
      <c r="B259" t="str">
        <f>_xlfn.XLOOKUP(Export[[#This Row],[store]],Table2[store '#],Table2[Franchise])</f>
        <v>Tacoma</v>
      </c>
      <c r="C259">
        <v>2612</v>
      </c>
      <c r="D259" t="s">
        <v>32</v>
      </c>
      <c r="E259" t="s">
        <v>33</v>
      </c>
      <c r="F259" s="5">
        <v>18.989999999999998</v>
      </c>
      <c r="G259" s="5">
        <v>18.989999999999998</v>
      </c>
    </row>
    <row r="260" spans="1:7" x14ac:dyDescent="0.25">
      <c r="A260" s="7"/>
      <c r="B260" t="str">
        <f>_xlfn.XLOOKUP(Export[[#This Row],[store]],Table2[store '#],Table2[Franchise])</f>
        <v>Tacoma</v>
      </c>
      <c r="C260">
        <v>2612</v>
      </c>
      <c r="D260" t="s">
        <v>34</v>
      </c>
      <c r="E260" t="s">
        <v>35</v>
      </c>
      <c r="F260" s="5">
        <v>25.99</v>
      </c>
      <c r="G260" s="5">
        <v>25.99</v>
      </c>
    </row>
    <row r="261" spans="1:7" x14ac:dyDescent="0.25">
      <c r="A261" s="7"/>
      <c r="B261" t="str">
        <f>_xlfn.XLOOKUP(Export[[#This Row],[store]],Table2[store '#],Table2[Franchise])</f>
        <v>Tacoma</v>
      </c>
      <c r="C261">
        <v>2612</v>
      </c>
      <c r="D261" t="s">
        <v>36</v>
      </c>
      <c r="E261" t="s">
        <v>37</v>
      </c>
      <c r="F261" s="5">
        <v>15.99</v>
      </c>
      <c r="G261" s="5">
        <v>15.99</v>
      </c>
    </row>
    <row r="262" spans="1:7" x14ac:dyDescent="0.25">
      <c r="A262" s="7"/>
      <c r="B262" t="str">
        <f>_xlfn.XLOOKUP(Export[[#This Row],[store]],Table2[store '#],Table2[Franchise])</f>
        <v>Tacoma</v>
      </c>
      <c r="C262">
        <v>2612</v>
      </c>
      <c r="D262" t="s">
        <v>38</v>
      </c>
      <c r="E262" t="s">
        <v>39</v>
      </c>
      <c r="F262" s="5">
        <v>29.99</v>
      </c>
      <c r="G262" s="5">
        <v>29.99</v>
      </c>
    </row>
    <row r="263" spans="1:7" x14ac:dyDescent="0.25">
      <c r="A263" s="7"/>
      <c r="B263" t="str">
        <f>_xlfn.XLOOKUP(Export[[#This Row],[store]],Table2[store '#],Table2[Franchise])</f>
        <v>Tacoma</v>
      </c>
      <c r="C263">
        <v>2612</v>
      </c>
      <c r="D263" t="s">
        <v>40</v>
      </c>
      <c r="E263" t="s">
        <v>41</v>
      </c>
      <c r="F263" s="5">
        <v>14.99</v>
      </c>
      <c r="G263" s="5">
        <v>14.99</v>
      </c>
    </row>
    <row r="264" spans="1:7" x14ac:dyDescent="0.25">
      <c r="A264" s="7"/>
      <c r="B264" t="str">
        <f>_xlfn.XLOOKUP(Export[[#This Row],[store]],Table2[store '#],Table2[Franchise])</f>
        <v>Tacoma</v>
      </c>
      <c r="C264">
        <v>2612</v>
      </c>
      <c r="D264" t="s">
        <v>42</v>
      </c>
      <c r="E264" t="s">
        <v>43</v>
      </c>
    </row>
    <row r="265" spans="1:7" x14ac:dyDescent="0.25">
      <c r="A265" s="7"/>
      <c r="B265" t="str">
        <f>_xlfn.XLOOKUP(Export[[#This Row],[store]],Table2[store '#],Table2[Franchise])</f>
        <v>Tacoma</v>
      </c>
      <c r="C265">
        <v>2612</v>
      </c>
      <c r="D265" t="s">
        <v>44</v>
      </c>
      <c r="E265" t="s">
        <v>45</v>
      </c>
    </row>
    <row r="266" spans="1:7" x14ac:dyDescent="0.25">
      <c r="A266" s="7"/>
      <c r="B266" t="str">
        <f>_xlfn.XLOOKUP(Export[[#This Row],[store]],Table2[store '#],Table2[Franchise])</f>
        <v>Tacoma</v>
      </c>
      <c r="C266">
        <v>2687</v>
      </c>
      <c r="D266" t="s">
        <v>18</v>
      </c>
      <c r="E266" t="s">
        <v>19</v>
      </c>
      <c r="F266" s="5">
        <v>13.99</v>
      </c>
      <c r="G266" s="5">
        <v>13.99</v>
      </c>
    </row>
    <row r="267" spans="1:7" x14ac:dyDescent="0.25">
      <c r="A267" s="7"/>
      <c r="B267" t="str">
        <f>_xlfn.XLOOKUP(Export[[#This Row],[store]],Table2[store '#],Table2[Franchise])</f>
        <v>Tacoma</v>
      </c>
      <c r="C267">
        <v>2687</v>
      </c>
      <c r="D267" t="s">
        <v>20</v>
      </c>
      <c r="E267" t="s">
        <v>21</v>
      </c>
      <c r="F267" s="5">
        <v>4.99</v>
      </c>
      <c r="G267" s="5">
        <v>4.99</v>
      </c>
    </row>
    <row r="268" spans="1:7" x14ac:dyDescent="0.25">
      <c r="A268" s="7"/>
      <c r="B268" t="str">
        <f>_xlfn.XLOOKUP(Export[[#This Row],[store]],Table2[store '#],Table2[Franchise])</f>
        <v>Tacoma</v>
      </c>
      <c r="C268">
        <v>2687</v>
      </c>
      <c r="D268" t="s">
        <v>6</v>
      </c>
      <c r="E268" t="s">
        <v>7</v>
      </c>
      <c r="F268" s="5">
        <v>6.99</v>
      </c>
      <c r="G268" s="5">
        <v>6.99</v>
      </c>
    </row>
    <row r="269" spans="1:7" x14ac:dyDescent="0.25">
      <c r="A269" s="7"/>
      <c r="B269" t="str">
        <f>_xlfn.XLOOKUP(Export[[#This Row],[store]],Table2[store '#],Table2[Franchise])</f>
        <v>Tacoma</v>
      </c>
      <c r="C269">
        <v>2687</v>
      </c>
      <c r="D269" t="s">
        <v>22</v>
      </c>
      <c r="E269" t="s">
        <v>23</v>
      </c>
      <c r="F269" s="5">
        <v>9.99</v>
      </c>
      <c r="G269" s="5">
        <v>9.99</v>
      </c>
    </row>
    <row r="270" spans="1:7" x14ac:dyDescent="0.25">
      <c r="A270" s="7"/>
      <c r="B270" t="str">
        <f>_xlfn.XLOOKUP(Export[[#This Row],[store]],Table2[store '#],Table2[Franchise])</f>
        <v>Tacoma</v>
      </c>
      <c r="C270">
        <v>2687</v>
      </c>
      <c r="D270" t="s">
        <v>24</v>
      </c>
      <c r="E270" t="s">
        <v>25</v>
      </c>
      <c r="F270" s="5">
        <v>12.99</v>
      </c>
      <c r="G270" s="5">
        <v>12.99</v>
      </c>
    </row>
    <row r="271" spans="1:7" x14ac:dyDescent="0.25">
      <c r="A271" s="7"/>
      <c r="B271" t="str">
        <f>_xlfn.XLOOKUP(Export[[#This Row],[store]],Table2[store '#],Table2[Franchise])</f>
        <v>Tacoma</v>
      </c>
      <c r="C271">
        <v>2687</v>
      </c>
      <c r="D271" t="s">
        <v>26</v>
      </c>
      <c r="E271" t="s">
        <v>27</v>
      </c>
      <c r="F271" s="5">
        <v>15.99</v>
      </c>
      <c r="G271" s="5">
        <v>15.99</v>
      </c>
    </row>
    <row r="272" spans="1:7" x14ac:dyDescent="0.25">
      <c r="A272" s="7"/>
      <c r="B272" t="str">
        <f>_xlfn.XLOOKUP(Export[[#This Row],[store]],Table2[store '#],Table2[Franchise])</f>
        <v>Tacoma</v>
      </c>
      <c r="C272">
        <v>2687</v>
      </c>
      <c r="D272" t="s">
        <v>28</v>
      </c>
      <c r="E272" t="s">
        <v>29</v>
      </c>
      <c r="F272" s="6">
        <v>10</v>
      </c>
      <c r="G272" s="6">
        <v>10</v>
      </c>
    </row>
    <row r="273" spans="1:7" x14ac:dyDescent="0.25">
      <c r="A273" s="7"/>
      <c r="B273" t="str">
        <f>_xlfn.XLOOKUP(Export[[#This Row],[store]],Table2[store '#],Table2[Franchise])</f>
        <v>Tacoma</v>
      </c>
      <c r="C273">
        <v>2687</v>
      </c>
      <c r="D273" t="s">
        <v>30</v>
      </c>
      <c r="E273" t="s">
        <v>31</v>
      </c>
      <c r="F273" s="5">
        <v>15.99</v>
      </c>
      <c r="G273" s="5">
        <v>15.99</v>
      </c>
    </row>
    <row r="274" spans="1:7" x14ac:dyDescent="0.25">
      <c r="A274" s="7"/>
      <c r="B274" t="str">
        <f>_xlfn.XLOOKUP(Export[[#This Row],[store]],Table2[store '#],Table2[Franchise])</f>
        <v>Tacoma</v>
      </c>
      <c r="C274">
        <v>2687</v>
      </c>
      <c r="D274" t="s">
        <v>32</v>
      </c>
      <c r="E274" t="s">
        <v>33</v>
      </c>
      <c r="F274" s="5">
        <v>18.989999999999998</v>
      </c>
      <c r="G274" s="5">
        <v>18.989999999999998</v>
      </c>
    </row>
    <row r="275" spans="1:7" x14ac:dyDescent="0.25">
      <c r="A275" s="7"/>
      <c r="B275" t="str">
        <f>_xlfn.XLOOKUP(Export[[#This Row],[store]],Table2[store '#],Table2[Franchise])</f>
        <v>Tacoma</v>
      </c>
      <c r="C275">
        <v>2687</v>
      </c>
      <c r="D275" t="s">
        <v>34</v>
      </c>
      <c r="E275" t="s">
        <v>35</v>
      </c>
      <c r="F275" s="5">
        <v>25.99</v>
      </c>
      <c r="G275" s="5">
        <v>25.99</v>
      </c>
    </row>
    <row r="276" spans="1:7" x14ac:dyDescent="0.25">
      <c r="A276" s="7"/>
      <c r="B276" t="str">
        <f>_xlfn.XLOOKUP(Export[[#This Row],[store]],Table2[store '#],Table2[Franchise])</f>
        <v>Tacoma</v>
      </c>
      <c r="C276">
        <v>2687</v>
      </c>
      <c r="D276" t="s">
        <v>36</v>
      </c>
      <c r="E276" t="s">
        <v>37</v>
      </c>
      <c r="F276" s="5">
        <v>15.99</v>
      </c>
      <c r="G276" s="5">
        <v>15.99</v>
      </c>
    </row>
    <row r="277" spans="1:7" x14ac:dyDescent="0.25">
      <c r="A277" s="7"/>
      <c r="B277" t="str">
        <f>_xlfn.XLOOKUP(Export[[#This Row],[store]],Table2[store '#],Table2[Franchise])</f>
        <v>Tacoma</v>
      </c>
      <c r="C277">
        <v>2687</v>
      </c>
      <c r="D277" t="s">
        <v>38</v>
      </c>
      <c r="E277" t="s">
        <v>39</v>
      </c>
      <c r="F277" s="5">
        <v>29.99</v>
      </c>
      <c r="G277" s="5">
        <v>29.99</v>
      </c>
    </row>
    <row r="278" spans="1:7" x14ac:dyDescent="0.25">
      <c r="A278" s="7"/>
      <c r="B278" t="str">
        <f>_xlfn.XLOOKUP(Export[[#This Row],[store]],Table2[store '#],Table2[Franchise])</f>
        <v>Tacoma</v>
      </c>
      <c r="C278">
        <v>2687</v>
      </c>
      <c r="D278" t="s">
        <v>40</v>
      </c>
      <c r="E278" t="s">
        <v>41</v>
      </c>
      <c r="F278" s="5">
        <v>14.99</v>
      </c>
      <c r="G278" s="5">
        <v>14.99</v>
      </c>
    </row>
    <row r="279" spans="1:7" x14ac:dyDescent="0.25">
      <c r="A279" s="7"/>
      <c r="B279" t="str">
        <f>_xlfn.XLOOKUP(Export[[#This Row],[store]],Table2[store '#],Table2[Franchise])</f>
        <v>Tacoma</v>
      </c>
      <c r="C279">
        <v>2687</v>
      </c>
      <c r="D279" t="s">
        <v>42</v>
      </c>
      <c r="E279" t="s">
        <v>43</v>
      </c>
    </row>
    <row r="280" spans="1:7" x14ac:dyDescent="0.25">
      <c r="A280" s="7"/>
      <c r="B280" t="str">
        <f>_xlfn.XLOOKUP(Export[[#This Row],[store]],Table2[store '#],Table2[Franchise])</f>
        <v>Tacoma</v>
      </c>
      <c r="C280">
        <v>2687</v>
      </c>
      <c r="D280" t="s">
        <v>44</v>
      </c>
      <c r="E280" t="s">
        <v>45</v>
      </c>
    </row>
    <row r="281" spans="1:7" x14ac:dyDescent="0.25">
      <c r="A281" s="7"/>
      <c r="B281" t="str">
        <f>_xlfn.XLOOKUP(Export[[#This Row],[store]],Table2[store '#],Table2[Franchise])</f>
        <v>Tacoma</v>
      </c>
      <c r="C281">
        <v>2921</v>
      </c>
      <c r="D281" t="s">
        <v>18</v>
      </c>
      <c r="E281" t="s">
        <v>19</v>
      </c>
      <c r="F281" s="5">
        <v>13.99</v>
      </c>
      <c r="G281" s="5">
        <v>13.99</v>
      </c>
    </row>
    <row r="282" spans="1:7" x14ac:dyDescent="0.25">
      <c r="A282" s="7"/>
      <c r="B282" t="str">
        <f>_xlfn.XLOOKUP(Export[[#This Row],[store]],Table2[store '#],Table2[Franchise])</f>
        <v>Tacoma</v>
      </c>
      <c r="C282">
        <v>2921</v>
      </c>
      <c r="D282" t="s">
        <v>20</v>
      </c>
      <c r="E282" t="s">
        <v>21</v>
      </c>
      <c r="F282" s="5">
        <v>4.99</v>
      </c>
      <c r="G282" s="5">
        <v>4.99</v>
      </c>
    </row>
    <row r="283" spans="1:7" x14ac:dyDescent="0.25">
      <c r="A283" s="7"/>
      <c r="B283" t="str">
        <f>_xlfn.XLOOKUP(Export[[#This Row],[store]],Table2[store '#],Table2[Franchise])</f>
        <v>Tacoma</v>
      </c>
      <c r="C283">
        <v>2921</v>
      </c>
      <c r="D283" t="s">
        <v>6</v>
      </c>
      <c r="E283" t="s">
        <v>7</v>
      </c>
      <c r="F283" s="5">
        <v>6.99</v>
      </c>
      <c r="G283" s="5">
        <v>6.99</v>
      </c>
    </row>
    <row r="284" spans="1:7" x14ac:dyDescent="0.25">
      <c r="A284" s="7"/>
      <c r="B284" t="str">
        <f>_xlfn.XLOOKUP(Export[[#This Row],[store]],Table2[store '#],Table2[Franchise])</f>
        <v>Tacoma</v>
      </c>
      <c r="C284">
        <v>2921</v>
      </c>
      <c r="D284" t="s">
        <v>22</v>
      </c>
      <c r="E284" t="s">
        <v>23</v>
      </c>
      <c r="F284" s="5">
        <v>9.99</v>
      </c>
      <c r="G284" s="5">
        <v>9.99</v>
      </c>
    </row>
    <row r="285" spans="1:7" x14ac:dyDescent="0.25">
      <c r="A285" s="7"/>
      <c r="B285" t="str">
        <f>_xlfn.XLOOKUP(Export[[#This Row],[store]],Table2[store '#],Table2[Franchise])</f>
        <v>Tacoma</v>
      </c>
      <c r="C285">
        <v>2921</v>
      </c>
      <c r="D285" t="s">
        <v>24</v>
      </c>
      <c r="E285" t="s">
        <v>25</v>
      </c>
      <c r="F285" s="5">
        <v>12.99</v>
      </c>
      <c r="G285" s="5">
        <v>12.99</v>
      </c>
    </row>
    <row r="286" spans="1:7" x14ac:dyDescent="0.25">
      <c r="A286" s="7"/>
      <c r="B286" t="str">
        <f>_xlfn.XLOOKUP(Export[[#This Row],[store]],Table2[store '#],Table2[Franchise])</f>
        <v>Tacoma</v>
      </c>
      <c r="C286">
        <v>2921</v>
      </c>
      <c r="D286" t="s">
        <v>26</v>
      </c>
      <c r="E286" t="s">
        <v>27</v>
      </c>
      <c r="F286" s="5">
        <v>15.99</v>
      </c>
      <c r="G286" s="5">
        <v>15.99</v>
      </c>
    </row>
    <row r="287" spans="1:7" x14ac:dyDescent="0.25">
      <c r="A287" s="7"/>
      <c r="B287" t="str">
        <f>_xlfn.XLOOKUP(Export[[#This Row],[store]],Table2[store '#],Table2[Franchise])</f>
        <v>Tacoma</v>
      </c>
      <c r="C287">
        <v>2921</v>
      </c>
      <c r="D287" t="s">
        <v>28</v>
      </c>
      <c r="E287" t="s">
        <v>29</v>
      </c>
      <c r="F287" s="6">
        <v>10</v>
      </c>
      <c r="G287" s="6">
        <v>10</v>
      </c>
    </row>
    <row r="288" spans="1:7" x14ac:dyDescent="0.25">
      <c r="A288" s="7"/>
      <c r="B288" t="str">
        <f>_xlfn.XLOOKUP(Export[[#This Row],[store]],Table2[store '#],Table2[Franchise])</f>
        <v>Tacoma</v>
      </c>
      <c r="C288">
        <v>2921</v>
      </c>
      <c r="D288" t="s">
        <v>30</v>
      </c>
      <c r="E288" t="s">
        <v>31</v>
      </c>
      <c r="F288" s="5">
        <v>15.99</v>
      </c>
      <c r="G288" s="5">
        <v>15.99</v>
      </c>
    </row>
    <row r="289" spans="1:7" x14ac:dyDescent="0.25">
      <c r="A289" s="7"/>
      <c r="B289" t="str">
        <f>_xlfn.XLOOKUP(Export[[#This Row],[store]],Table2[store '#],Table2[Franchise])</f>
        <v>Tacoma</v>
      </c>
      <c r="C289">
        <v>2921</v>
      </c>
      <c r="D289" t="s">
        <v>32</v>
      </c>
      <c r="E289" t="s">
        <v>33</v>
      </c>
      <c r="F289" s="5">
        <v>18.989999999999998</v>
      </c>
      <c r="G289" s="5">
        <v>18.989999999999998</v>
      </c>
    </row>
    <row r="290" spans="1:7" x14ac:dyDescent="0.25">
      <c r="A290" s="7"/>
      <c r="B290" t="str">
        <f>_xlfn.XLOOKUP(Export[[#This Row],[store]],Table2[store '#],Table2[Franchise])</f>
        <v>Tacoma</v>
      </c>
      <c r="C290">
        <v>2921</v>
      </c>
      <c r="D290" t="s">
        <v>34</v>
      </c>
      <c r="E290" t="s">
        <v>35</v>
      </c>
      <c r="F290" s="5">
        <v>25.99</v>
      </c>
      <c r="G290" s="5">
        <v>25.99</v>
      </c>
    </row>
    <row r="291" spans="1:7" x14ac:dyDescent="0.25">
      <c r="A291" s="7"/>
      <c r="B291" t="str">
        <f>_xlfn.XLOOKUP(Export[[#This Row],[store]],Table2[store '#],Table2[Franchise])</f>
        <v>Tacoma</v>
      </c>
      <c r="C291">
        <v>2921</v>
      </c>
      <c r="D291" t="s">
        <v>36</v>
      </c>
      <c r="E291" t="s">
        <v>37</v>
      </c>
      <c r="F291" s="5">
        <v>15.99</v>
      </c>
      <c r="G291" s="5">
        <v>15.99</v>
      </c>
    </row>
    <row r="292" spans="1:7" x14ac:dyDescent="0.25">
      <c r="A292" s="7"/>
      <c r="B292" t="str">
        <f>_xlfn.XLOOKUP(Export[[#This Row],[store]],Table2[store '#],Table2[Franchise])</f>
        <v>Tacoma</v>
      </c>
      <c r="C292">
        <v>2921</v>
      </c>
      <c r="D292" t="s">
        <v>38</v>
      </c>
      <c r="E292" t="s">
        <v>39</v>
      </c>
      <c r="F292" s="5">
        <v>29.99</v>
      </c>
      <c r="G292" s="5">
        <v>29.99</v>
      </c>
    </row>
    <row r="293" spans="1:7" x14ac:dyDescent="0.25">
      <c r="A293" s="7"/>
      <c r="B293" t="str">
        <f>_xlfn.XLOOKUP(Export[[#This Row],[store]],Table2[store '#],Table2[Franchise])</f>
        <v>Tacoma</v>
      </c>
      <c r="C293">
        <v>2921</v>
      </c>
      <c r="D293" t="s">
        <v>40</v>
      </c>
      <c r="E293" t="s">
        <v>41</v>
      </c>
      <c r="F293" s="5">
        <v>14.99</v>
      </c>
      <c r="G293" s="5">
        <v>14.99</v>
      </c>
    </row>
    <row r="294" spans="1:7" x14ac:dyDescent="0.25">
      <c r="A294" s="7"/>
      <c r="B294" t="str">
        <f>_xlfn.XLOOKUP(Export[[#This Row],[store]],Table2[store '#],Table2[Franchise])</f>
        <v>Tacoma</v>
      </c>
      <c r="C294">
        <v>2921</v>
      </c>
      <c r="D294" t="s">
        <v>42</v>
      </c>
      <c r="E294" t="s">
        <v>43</v>
      </c>
    </row>
    <row r="295" spans="1:7" x14ac:dyDescent="0.25">
      <c r="A295" s="7"/>
      <c r="B295" t="str">
        <f>_xlfn.XLOOKUP(Export[[#This Row],[store]],Table2[store '#],Table2[Franchise])</f>
        <v>Tacoma</v>
      </c>
      <c r="C295">
        <v>2921</v>
      </c>
      <c r="D295" t="s">
        <v>44</v>
      </c>
      <c r="E295" t="s">
        <v>45</v>
      </c>
    </row>
    <row r="296" spans="1:7" x14ac:dyDescent="0.25">
      <c r="A296" s="7"/>
      <c r="B296" t="str">
        <f>_xlfn.XLOOKUP(Export[[#This Row],[store]],Table2[store '#],Table2[Franchise])</f>
        <v>Tacoma</v>
      </c>
      <c r="C296">
        <v>3015</v>
      </c>
      <c r="D296" t="s">
        <v>18</v>
      </c>
      <c r="E296" t="s">
        <v>19</v>
      </c>
      <c r="F296" s="5">
        <v>13.99</v>
      </c>
      <c r="G296" s="5">
        <v>13.99</v>
      </c>
    </row>
    <row r="297" spans="1:7" x14ac:dyDescent="0.25">
      <c r="A297" s="7"/>
      <c r="B297" t="str">
        <f>_xlfn.XLOOKUP(Export[[#This Row],[store]],Table2[store '#],Table2[Franchise])</f>
        <v>Tacoma</v>
      </c>
      <c r="C297">
        <v>3015</v>
      </c>
      <c r="D297" t="s">
        <v>20</v>
      </c>
      <c r="E297" t="s">
        <v>21</v>
      </c>
      <c r="F297" s="5">
        <v>4.99</v>
      </c>
      <c r="G297" s="5">
        <v>4.99</v>
      </c>
    </row>
    <row r="298" spans="1:7" x14ac:dyDescent="0.25">
      <c r="A298" s="7"/>
      <c r="B298" t="str">
        <f>_xlfn.XLOOKUP(Export[[#This Row],[store]],Table2[store '#],Table2[Franchise])</f>
        <v>Tacoma</v>
      </c>
      <c r="C298">
        <v>3015</v>
      </c>
      <c r="D298" t="s">
        <v>6</v>
      </c>
      <c r="E298" t="s">
        <v>7</v>
      </c>
      <c r="F298" s="5">
        <v>6.99</v>
      </c>
      <c r="G298" s="5">
        <v>6.99</v>
      </c>
    </row>
    <row r="299" spans="1:7" x14ac:dyDescent="0.25">
      <c r="A299" s="7"/>
      <c r="B299" t="str">
        <f>_xlfn.XLOOKUP(Export[[#This Row],[store]],Table2[store '#],Table2[Franchise])</f>
        <v>Tacoma</v>
      </c>
      <c r="C299">
        <v>3015</v>
      </c>
      <c r="D299" t="s">
        <v>22</v>
      </c>
      <c r="E299" t="s">
        <v>23</v>
      </c>
      <c r="F299" s="5">
        <v>9.99</v>
      </c>
      <c r="G299" s="5">
        <v>9.99</v>
      </c>
    </row>
    <row r="300" spans="1:7" x14ac:dyDescent="0.25">
      <c r="A300" s="7"/>
      <c r="B300" t="str">
        <f>_xlfn.XLOOKUP(Export[[#This Row],[store]],Table2[store '#],Table2[Franchise])</f>
        <v>Tacoma</v>
      </c>
      <c r="C300">
        <v>3015</v>
      </c>
      <c r="D300" t="s">
        <v>24</v>
      </c>
      <c r="E300" t="s">
        <v>25</v>
      </c>
      <c r="F300" s="5">
        <v>12.99</v>
      </c>
      <c r="G300" s="5">
        <v>12.99</v>
      </c>
    </row>
    <row r="301" spans="1:7" x14ac:dyDescent="0.25">
      <c r="A301" s="7"/>
      <c r="B301" t="str">
        <f>_xlfn.XLOOKUP(Export[[#This Row],[store]],Table2[store '#],Table2[Franchise])</f>
        <v>Tacoma</v>
      </c>
      <c r="C301">
        <v>3015</v>
      </c>
      <c r="D301" t="s">
        <v>26</v>
      </c>
      <c r="E301" t="s">
        <v>27</v>
      </c>
      <c r="F301" s="5">
        <v>15.99</v>
      </c>
      <c r="G301" s="5">
        <v>15.99</v>
      </c>
    </row>
    <row r="302" spans="1:7" x14ac:dyDescent="0.25">
      <c r="A302" s="7"/>
      <c r="B302" t="str">
        <f>_xlfn.XLOOKUP(Export[[#This Row],[store]],Table2[store '#],Table2[Franchise])</f>
        <v>Tacoma</v>
      </c>
      <c r="C302">
        <v>3015</v>
      </c>
      <c r="D302" t="s">
        <v>28</v>
      </c>
      <c r="E302" t="s">
        <v>29</v>
      </c>
      <c r="F302" s="6">
        <v>10</v>
      </c>
      <c r="G302" s="6">
        <v>10</v>
      </c>
    </row>
    <row r="303" spans="1:7" x14ac:dyDescent="0.25">
      <c r="A303" s="7"/>
      <c r="B303" t="str">
        <f>_xlfn.XLOOKUP(Export[[#This Row],[store]],Table2[store '#],Table2[Franchise])</f>
        <v>Tacoma</v>
      </c>
      <c r="C303">
        <v>3015</v>
      </c>
      <c r="D303" t="s">
        <v>30</v>
      </c>
      <c r="E303" t="s">
        <v>31</v>
      </c>
      <c r="F303" s="5">
        <v>15.99</v>
      </c>
      <c r="G303" s="5">
        <v>15.99</v>
      </c>
    </row>
    <row r="304" spans="1:7" x14ac:dyDescent="0.25">
      <c r="A304" s="7"/>
      <c r="B304" t="str">
        <f>_xlfn.XLOOKUP(Export[[#This Row],[store]],Table2[store '#],Table2[Franchise])</f>
        <v>Tacoma</v>
      </c>
      <c r="C304">
        <v>3015</v>
      </c>
      <c r="D304" t="s">
        <v>32</v>
      </c>
      <c r="E304" t="s">
        <v>33</v>
      </c>
      <c r="F304" s="5">
        <v>18.989999999999998</v>
      </c>
      <c r="G304" s="5">
        <v>18.989999999999998</v>
      </c>
    </row>
    <row r="305" spans="1:7" x14ac:dyDescent="0.25">
      <c r="A305" s="7"/>
      <c r="B305" t="str">
        <f>_xlfn.XLOOKUP(Export[[#This Row],[store]],Table2[store '#],Table2[Franchise])</f>
        <v>Tacoma</v>
      </c>
      <c r="C305">
        <v>3015</v>
      </c>
      <c r="D305" t="s">
        <v>34</v>
      </c>
      <c r="E305" t="s">
        <v>35</v>
      </c>
      <c r="F305" s="5">
        <v>25.99</v>
      </c>
      <c r="G305" s="5">
        <v>25.99</v>
      </c>
    </row>
    <row r="306" spans="1:7" x14ac:dyDescent="0.25">
      <c r="A306" s="7"/>
      <c r="B306" t="str">
        <f>_xlfn.XLOOKUP(Export[[#This Row],[store]],Table2[store '#],Table2[Franchise])</f>
        <v>Tacoma</v>
      </c>
      <c r="C306">
        <v>3015</v>
      </c>
      <c r="D306" t="s">
        <v>36</v>
      </c>
      <c r="E306" t="s">
        <v>37</v>
      </c>
      <c r="F306" s="5">
        <v>15.99</v>
      </c>
      <c r="G306" s="5">
        <v>15.99</v>
      </c>
    </row>
    <row r="307" spans="1:7" x14ac:dyDescent="0.25">
      <c r="A307" s="7"/>
      <c r="B307" t="str">
        <f>_xlfn.XLOOKUP(Export[[#This Row],[store]],Table2[store '#],Table2[Franchise])</f>
        <v>Tacoma</v>
      </c>
      <c r="C307">
        <v>3015</v>
      </c>
      <c r="D307" t="s">
        <v>38</v>
      </c>
      <c r="E307" t="s">
        <v>39</v>
      </c>
      <c r="F307" s="5">
        <v>29.99</v>
      </c>
      <c r="G307" s="5">
        <v>29.99</v>
      </c>
    </row>
    <row r="308" spans="1:7" x14ac:dyDescent="0.25">
      <c r="A308" s="7"/>
      <c r="B308" t="str">
        <f>_xlfn.XLOOKUP(Export[[#This Row],[store]],Table2[store '#],Table2[Franchise])</f>
        <v>Tacoma</v>
      </c>
      <c r="C308">
        <v>3015</v>
      </c>
      <c r="D308" t="s">
        <v>40</v>
      </c>
      <c r="E308" t="s">
        <v>41</v>
      </c>
      <c r="F308" s="5">
        <v>14.99</v>
      </c>
      <c r="G308" s="5">
        <v>14.99</v>
      </c>
    </row>
    <row r="309" spans="1:7" x14ac:dyDescent="0.25">
      <c r="A309" s="7"/>
      <c r="B309" t="str">
        <f>_xlfn.XLOOKUP(Export[[#This Row],[store]],Table2[store '#],Table2[Franchise])</f>
        <v>Tacoma</v>
      </c>
      <c r="C309">
        <v>3015</v>
      </c>
      <c r="D309" t="s">
        <v>42</v>
      </c>
      <c r="E309" t="s">
        <v>43</v>
      </c>
    </row>
    <row r="310" spans="1:7" x14ac:dyDescent="0.25">
      <c r="A310" s="7"/>
      <c r="B310" t="str">
        <f>_xlfn.XLOOKUP(Export[[#This Row],[store]],Table2[store '#],Table2[Franchise])</f>
        <v>Tacoma</v>
      </c>
      <c r="C310">
        <v>3015</v>
      </c>
      <c r="D310" t="s">
        <v>44</v>
      </c>
      <c r="E310" t="s">
        <v>45</v>
      </c>
    </row>
    <row r="311" spans="1:7" x14ac:dyDescent="0.25">
      <c r="A311" s="7"/>
      <c r="B311" t="str">
        <f>_xlfn.XLOOKUP(Export[[#This Row],[store]],Table2[store '#],Table2[Franchise])</f>
        <v>Tacoma</v>
      </c>
      <c r="C311">
        <v>4405</v>
      </c>
      <c r="D311" t="s">
        <v>18</v>
      </c>
      <c r="E311" t="s">
        <v>19</v>
      </c>
      <c r="F311" s="5">
        <v>13.99</v>
      </c>
      <c r="G311" s="5">
        <v>13.99</v>
      </c>
    </row>
    <row r="312" spans="1:7" x14ac:dyDescent="0.25">
      <c r="A312" s="7"/>
      <c r="B312" t="str">
        <f>_xlfn.XLOOKUP(Export[[#This Row],[store]],Table2[store '#],Table2[Franchise])</f>
        <v>Tacoma</v>
      </c>
      <c r="C312">
        <v>4405</v>
      </c>
      <c r="D312" t="s">
        <v>20</v>
      </c>
      <c r="E312" t="s">
        <v>21</v>
      </c>
      <c r="F312" s="5">
        <v>4.99</v>
      </c>
      <c r="G312" s="5">
        <v>4.99</v>
      </c>
    </row>
    <row r="313" spans="1:7" x14ac:dyDescent="0.25">
      <c r="A313" s="7"/>
      <c r="B313" t="str">
        <f>_xlfn.XLOOKUP(Export[[#This Row],[store]],Table2[store '#],Table2[Franchise])</f>
        <v>Tacoma</v>
      </c>
      <c r="C313">
        <v>4405</v>
      </c>
      <c r="D313" t="s">
        <v>6</v>
      </c>
      <c r="E313" t="s">
        <v>7</v>
      </c>
      <c r="F313" s="5">
        <v>6.99</v>
      </c>
      <c r="G313" s="5">
        <v>6.99</v>
      </c>
    </row>
    <row r="314" spans="1:7" x14ac:dyDescent="0.25">
      <c r="A314" s="7"/>
      <c r="B314" t="str">
        <f>_xlfn.XLOOKUP(Export[[#This Row],[store]],Table2[store '#],Table2[Franchise])</f>
        <v>Tacoma</v>
      </c>
      <c r="C314">
        <v>4405</v>
      </c>
      <c r="D314" t="s">
        <v>22</v>
      </c>
      <c r="E314" t="s">
        <v>23</v>
      </c>
      <c r="F314" s="5">
        <v>9.99</v>
      </c>
      <c r="G314" s="5">
        <v>9.99</v>
      </c>
    </row>
    <row r="315" spans="1:7" x14ac:dyDescent="0.25">
      <c r="A315" s="7"/>
      <c r="B315" t="str">
        <f>_xlfn.XLOOKUP(Export[[#This Row],[store]],Table2[store '#],Table2[Franchise])</f>
        <v>Tacoma</v>
      </c>
      <c r="C315">
        <v>4405</v>
      </c>
      <c r="D315" t="s">
        <v>24</v>
      </c>
      <c r="E315" t="s">
        <v>25</v>
      </c>
      <c r="F315" s="5">
        <v>12.99</v>
      </c>
      <c r="G315" s="5">
        <v>12.99</v>
      </c>
    </row>
    <row r="316" spans="1:7" x14ac:dyDescent="0.25">
      <c r="A316" s="7"/>
      <c r="B316" t="str">
        <f>_xlfn.XLOOKUP(Export[[#This Row],[store]],Table2[store '#],Table2[Franchise])</f>
        <v>Tacoma</v>
      </c>
      <c r="C316">
        <v>4405</v>
      </c>
      <c r="D316" t="s">
        <v>26</v>
      </c>
      <c r="E316" t="s">
        <v>27</v>
      </c>
      <c r="F316" s="5">
        <v>15.99</v>
      </c>
      <c r="G316" s="5">
        <v>15.99</v>
      </c>
    </row>
    <row r="317" spans="1:7" x14ac:dyDescent="0.25">
      <c r="A317" s="7"/>
      <c r="B317" t="str">
        <f>_xlfn.XLOOKUP(Export[[#This Row],[store]],Table2[store '#],Table2[Franchise])</f>
        <v>Tacoma</v>
      </c>
      <c r="C317">
        <v>4405</v>
      </c>
      <c r="D317" t="s">
        <v>28</v>
      </c>
      <c r="E317" t="s">
        <v>29</v>
      </c>
      <c r="F317" s="6">
        <v>10</v>
      </c>
      <c r="G317" s="6">
        <v>10</v>
      </c>
    </row>
    <row r="318" spans="1:7" x14ac:dyDescent="0.25">
      <c r="A318" s="7"/>
      <c r="B318" t="str">
        <f>_xlfn.XLOOKUP(Export[[#This Row],[store]],Table2[store '#],Table2[Franchise])</f>
        <v>Tacoma</v>
      </c>
      <c r="C318">
        <v>4405</v>
      </c>
      <c r="D318" t="s">
        <v>30</v>
      </c>
      <c r="E318" t="s">
        <v>31</v>
      </c>
      <c r="F318" s="5">
        <v>15.99</v>
      </c>
      <c r="G318" s="5">
        <v>15.99</v>
      </c>
    </row>
    <row r="319" spans="1:7" x14ac:dyDescent="0.25">
      <c r="A319" s="7"/>
      <c r="B319" t="str">
        <f>_xlfn.XLOOKUP(Export[[#This Row],[store]],Table2[store '#],Table2[Franchise])</f>
        <v>Tacoma</v>
      </c>
      <c r="C319">
        <v>4405</v>
      </c>
      <c r="D319" t="s">
        <v>32</v>
      </c>
      <c r="E319" t="s">
        <v>33</v>
      </c>
      <c r="F319" s="5">
        <v>18.989999999999998</v>
      </c>
      <c r="G319" s="5">
        <v>18.989999999999998</v>
      </c>
    </row>
    <row r="320" spans="1:7" x14ac:dyDescent="0.25">
      <c r="A320" s="7"/>
      <c r="B320" t="str">
        <f>_xlfn.XLOOKUP(Export[[#This Row],[store]],Table2[store '#],Table2[Franchise])</f>
        <v>Tacoma</v>
      </c>
      <c r="C320">
        <v>4405</v>
      </c>
      <c r="D320" t="s">
        <v>34</v>
      </c>
      <c r="E320" t="s">
        <v>35</v>
      </c>
      <c r="F320" s="5">
        <v>25.99</v>
      </c>
      <c r="G320" s="5">
        <v>25.99</v>
      </c>
    </row>
    <row r="321" spans="1:7" x14ac:dyDescent="0.25">
      <c r="A321" s="7"/>
      <c r="B321" t="str">
        <f>_xlfn.XLOOKUP(Export[[#This Row],[store]],Table2[store '#],Table2[Franchise])</f>
        <v>Tacoma</v>
      </c>
      <c r="C321">
        <v>4405</v>
      </c>
      <c r="D321" t="s">
        <v>36</v>
      </c>
      <c r="E321" t="s">
        <v>37</v>
      </c>
      <c r="F321" s="5">
        <v>15.99</v>
      </c>
      <c r="G321" s="5">
        <v>15.99</v>
      </c>
    </row>
    <row r="322" spans="1:7" x14ac:dyDescent="0.25">
      <c r="A322" s="7"/>
      <c r="B322" t="str">
        <f>_xlfn.XLOOKUP(Export[[#This Row],[store]],Table2[store '#],Table2[Franchise])</f>
        <v>Tacoma</v>
      </c>
      <c r="C322">
        <v>4405</v>
      </c>
      <c r="D322" t="s">
        <v>38</v>
      </c>
      <c r="E322" t="s">
        <v>39</v>
      </c>
      <c r="F322" s="5">
        <v>29.99</v>
      </c>
      <c r="G322" s="5">
        <v>29.99</v>
      </c>
    </row>
    <row r="323" spans="1:7" x14ac:dyDescent="0.25">
      <c r="A323" s="7"/>
      <c r="B323" t="str">
        <f>_xlfn.XLOOKUP(Export[[#This Row],[store]],Table2[store '#],Table2[Franchise])</f>
        <v>Tacoma</v>
      </c>
      <c r="C323">
        <v>4405</v>
      </c>
      <c r="D323" t="s">
        <v>40</v>
      </c>
      <c r="E323" t="s">
        <v>41</v>
      </c>
      <c r="F323" s="5">
        <v>14.99</v>
      </c>
      <c r="G323" s="5">
        <v>14.99</v>
      </c>
    </row>
    <row r="324" spans="1:7" x14ac:dyDescent="0.25">
      <c r="A324" s="7"/>
      <c r="B324" t="str">
        <f>_xlfn.XLOOKUP(Export[[#This Row],[store]],Table2[store '#],Table2[Franchise])</f>
        <v>Tacoma</v>
      </c>
      <c r="C324">
        <v>4405</v>
      </c>
      <c r="D324" t="s">
        <v>42</v>
      </c>
      <c r="E324" t="s">
        <v>43</v>
      </c>
    </row>
    <row r="325" spans="1:7" x14ac:dyDescent="0.25">
      <c r="A325" s="7"/>
      <c r="B325" t="str">
        <f>_xlfn.XLOOKUP(Export[[#This Row],[store]],Table2[store '#],Table2[Franchise])</f>
        <v>Tacoma</v>
      </c>
      <c r="C325">
        <v>4405</v>
      </c>
      <c r="D325" t="s">
        <v>44</v>
      </c>
      <c r="E325" t="s">
        <v>45</v>
      </c>
    </row>
    <row r="326" spans="1:7" x14ac:dyDescent="0.25">
      <c r="A326" s="7"/>
      <c r="B326" t="str">
        <f>_xlfn.XLOOKUP(Export[[#This Row],[store]],Table2[store '#],Table2[Franchise])</f>
        <v>Tacoma</v>
      </c>
      <c r="C326">
        <v>5293</v>
      </c>
      <c r="D326" t="s">
        <v>18</v>
      </c>
      <c r="E326" t="s">
        <v>19</v>
      </c>
      <c r="F326" s="5">
        <v>13.99</v>
      </c>
      <c r="G326" s="5">
        <v>13.99</v>
      </c>
    </row>
    <row r="327" spans="1:7" x14ac:dyDescent="0.25">
      <c r="A327" s="7"/>
      <c r="B327" t="str">
        <f>_xlfn.XLOOKUP(Export[[#This Row],[store]],Table2[store '#],Table2[Franchise])</f>
        <v>Tacoma</v>
      </c>
      <c r="C327">
        <v>5293</v>
      </c>
      <c r="D327" t="s">
        <v>20</v>
      </c>
      <c r="E327" t="s">
        <v>21</v>
      </c>
      <c r="F327" s="5">
        <v>4.99</v>
      </c>
      <c r="G327" s="5">
        <v>4.99</v>
      </c>
    </row>
    <row r="328" spans="1:7" x14ac:dyDescent="0.25">
      <c r="A328" s="7"/>
      <c r="B328" t="str">
        <f>_xlfn.XLOOKUP(Export[[#This Row],[store]],Table2[store '#],Table2[Franchise])</f>
        <v>Tacoma</v>
      </c>
      <c r="C328">
        <v>5293</v>
      </c>
      <c r="D328" t="s">
        <v>6</v>
      </c>
      <c r="E328" t="s">
        <v>7</v>
      </c>
      <c r="F328" s="5">
        <v>6.99</v>
      </c>
      <c r="G328" s="5">
        <v>6.99</v>
      </c>
    </row>
    <row r="329" spans="1:7" x14ac:dyDescent="0.25">
      <c r="A329" s="7"/>
      <c r="B329" t="str">
        <f>_xlfn.XLOOKUP(Export[[#This Row],[store]],Table2[store '#],Table2[Franchise])</f>
        <v>Tacoma</v>
      </c>
      <c r="C329">
        <v>5293</v>
      </c>
      <c r="D329" t="s">
        <v>22</v>
      </c>
      <c r="E329" t="s">
        <v>23</v>
      </c>
      <c r="F329" s="5">
        <v>9.99</v>
      </c>
      <c r="G329" s="5">
        <v>9.99</v>
      </c>
    </row>
    <row r="330" spans="1:7" x14ac:dyDescent="0.25">
      <c r="A330" s="7"/>
      <c r="B330" t="str">
        <f>_xlfn.XLOOKUP(Export[[#This Row],[store]],Table2[store '#],Table2[Franchise])</f>
        <v>Tacoma</v>
      </c>
      <c r="C330">
        <v>5293</v>
      </c>
      <c r="D330" t="s">
        <v>24</v>
      </c>
      <c r="E330" t="s">
        <v>25</v>
      </c>
      <c r="F330" s="5">
        <v>12.99</v>
      </c>
      <c r="G330" s="5">
        <v>12.99</v>
      </c>
    </row>
    <row r="331" spans="1:7" x14ac:dyDescent="0.25">
      <c r="A331" s="7"/>
      <c r="B331" t="str">
        <f>_xlfn.XLOOKUP(Export[[#This Row],[store]],Table2[store '#],Table2[Franchise])</f>
        <v>Tacoma</v>
      </c>
      <c r="C331">
        <v>5293</v>
      </c>
      <c r="D331" t="s">
        <v>26</v>
      </c>
      <c r="E331" t="s">
        <v>27</v>
      </c>
      <c r="F331" s="5">
        <v>15.99</v>
      </c>
      <c r="G331" s="5">
        <v>15.99</v>
      </c>
    </row>
    <row r="332" spans="1:7" x14ac:dyDescent="0.25">
      <c r="A332" s="7"/>
      <c r="B332" t="str">
        <f>_xlfn.XLOOKUP(Export[[#This Row],[store]],Table2[store '#],Table2[Franchise])</f>
        <v>Tacoma</v>
      </c>
      <c r="C332">
        <v>5293</v>
      </c>
      <c r="D332" t="s">
        <v>28</v>
      </c>
      <c r="E332" t="s">
        <v>29</v>
      </c>
      <c r="F332" s="6">
        <v>10</v>
      </c>
      <c r="G332" s="6">
        <v>10</v>
      </c>
    </row>
    <row r="333" spans="1:7" x14ac:dyDescent="0.25">
      <c r="A333" s="7"/>
      <c r="B333" t="str">
        <f>_xlfn.XLOOKUP(Export[[#This Row],[store]],Table2[store '#],Table2[Franchise])</f>
        <v>Tacoma</v>
      </c>
      <c r="C333">
        <v>5293</v>
      </c>
      <c r="D333" t="s">
        <v>30</v>
      </c>
      <c r="E333" t="s">
        <v>31</v>
      </c>
      <c r="F333" s="5">
        <v>15.99</v>
      </c>
      <c r="G333" s="5">
        <v>15.99</v>
      </c>
    </row>
    <row r="334" spans="1:7" x14ac:dyDescent="0.25">
      <c r="A334" s="7"/>
      <c r="B334" t="str">
        <f>_xlfn.XLOOKUP(Export[[#This Row],[store]],Table2[store '#],Table2[Franchise])</f>
        <v>Tacoma</v>
      </c>
      <c r="C334">
        <v>5293</v>
      </c>
      <c r="D334" t="s">
        <v>32</v>
      </c>
      <c r="E334" t="s">
        <v>33</v>
      </c>
      <c r="F334" s="5">
        <v>18.989999999999998</v>
      </c>
      <c r="G334" s="5">
        <v>18.989999999999998</v>
      </c>
    </row>
    <row r="335" spans="1:7" x14ac:dyDescent="0.25">
      <c r="A335" s="7"/>
      <c r="B335" t="str">
        <f>_xlfn.XLOOKUP(Export[[#This Row],[store]],Table2[store '#],Table2[Franchise])</f>
        <v>Tacoma</v>
      </c>
      <c r="C335">
        <v>5293</v>
      </c>
      <c r="D335" t="s">
        <v>34</v>
      </c>
      <c r="E335" t="s">
        <v>35</v>
      </c>
      <c r="F335" s="5">
        <v>25.99</v>
      </c>
      <c r="G335" s="5">
        <v>25.99</v>
      </c>
    </row>
    <row r="336" spans="1:7" x14ac:dyDescent="0.25">
      <c r="A336" s="7"/>
      <c r="B336" t="str">
        <f>_xlfn.XLOOKUP(Export[[#This Row],[store]],Table2[store '#],Table2[Franchise])</f>
        <v>Tacoma</v>
      </c>
      <c r="C336">
        <v>5293</v>
      </c>
      <c r="D336" t="s">
        <v>36</v>
      </c>
      <c r="E336" t="s">
        <v>37</v>
      </c>
      <c r="F336" s="5">
        <v>15.99</v>
      </c>
      <c r="G336" s="5">
        <v>15.99</v>
      </c>
    </row>
    <row r="337" spans="1:7" x14ac:dyDescent="0.25">
      <c r="A337" s="7"/>
      <c r="B337" t="str">
        <f>_xlfn.XLOOKUP(Export[[#This Row],[store]],Table2[store '#],Table2[Franchise])</f>
        <v>Tacoma</v>
      </c>
      <c r="C337">
        <v>5293</v>
      </c>
      <c r="D337" t="s">
        <v>38</v>
      </c>
      <c r="E337" t="s">
        <v>39</v>
      </c>
      <c r="F337" s="5">
        <v>29.99</v>
      </c>
      <c r="G337" s="5">
        <v>29.99</v>
      </c>
    </row>
    <row r="338" spans="1:7" x14ac:dyDescent="0.25">
      <c r="A338" s="7"/>
      <c r="B338" t="str">
        <f>_xlfn.XLOOKUP(Export[[#This Row],[store]],Table2[store '#],Table2[Franchise])</f>
        <v>Tacoma</v>
      </c>
      <c r="C338">
        <v>5293</v>
      </c>
      <c r="D338" t="s">
        <v>40</v>
      </c>
      <c r="E338" t="s">
        <v>41</v>
      </c>
      <c r="F338" s="5">
        <v>14.99</v>
      </c>
      <c r="G338" s="5">
        <v>14.99</v>
      </c>
    </row>
    <row r="339" spans="1:7" x14ac:dyDescent="0.25">
      <c r="A339" s="7"/>
      <c r="B339" t="str">
        <f>_xlfn.XLOOKUP(Export[[#This Row],[store]],Table2[store '#],Table2[Franchise])</f>
        <v>Tacoma</v>
      </c>
      <c r="C339">
        <v>5293</v>
      </c>
      <c r="D339" t="s">
        <v>42</v>
      </c>
      <c r="E339" t="s">
        <v>43</v>
      </c>
    </row>
    <row r="340" spans="1:7" x14ac:dyDescent="0.25">
      <c r="A340" s="7"/>
      <c r="B340" t="str">
        <f>_xlfn.XLOOKUP(Export[[#This Row],[store]],Table2[store '#],Table2[Franchise])</f>
        <v>Tacoma</v>
      </c>
      <c r="C340">
        <v>5293</v>
      </c>
      <c r="D340" t="s">
        <v>44</v>
      </c>
      <c r="E340" t="s">
        <v>45</v>
      </c>
    </row>
    <row r="341" spans="1:7" x14ac:dyDescent="0.25">
      <c r="A341" s="7"/>
      <c r="B341" t="str">
        <f>_xlfn.XLOOKUP(Export[[#This Row],[store]],Table2[store '#],Table2[Franchise])</f>
        <v>Tacoma</v>
      </c>
      <c r="C341">
        <v>5296</v>
      </c>
      <c r="D341" t="s">
        <v>18</v>
      </c>
      <c r="E341" t="s">
        <v>19</v>
      </c>
      <c r="F341" s="5">
        <v>13.99</v>
      </c>
      <c r="G341" s="5">
        <v>13.99</v>
      </c>
    </row>
    <row r="342" spans="1:7" x14ac:dyDescent="0.25">
      <c r="A342" s="7"/>
      <c r="B342" t="str">
        <f>_xlfn.XLOOKUP(Export[[#This Row],[store]],Table2[store '#],Table2[Franchise])</f>
        <v>Tacoma</v>
      </c>
      <c r="C342">
        <v>5296</v>
      </c>
      <c r="D342" t="s">
        <v>20</v>
      </c>
      <c r="E342" t="s">
        <v>21</v>
      </c>
      <c r="F342" s="5">
        <v>4.99</v>
      </c>
      <c r="G342" s="5">
        <v>4.99</v>
      </c>
    </row>
    <row r="343" spans="1:7" x14ac:dyDescent="0.25">
      <c r="A343" s="7"/>
      <c r="B343" t="str">
        <f>_xlfn.XLOOKUP(Export[[#This Row],[store]],Table2[store '#],Table2[Franchise])</f>
        <v>Tacoma</v>
      </c>
      <c r="C343">
        <v>5296</v>
      </c>
      <c r="D343" t="s">
        <v>6</v>
      </c>
      <c r="E343" t="s">
        <v>7</v>
      </c>
      <c r="F343" s="5">
        <v>6.99</v>
      </c>
      <c r="G343" s="5">
        <v>6.99</v>
      </c>
    </row>
    <row r="344" spans="1:7" x14ac:dyDescent="0.25">
      <c r="A344" s="7"/>
      <c r="B344" t="str">
        <f>_xlfn.XLOOKUP(Export[[#This Row],[store]],Table2[store '#],Table2[Franchise])</f>
        <v>Tacoma</v>
      </c>
      <c r="C344">
        <v>5296</v>
      </c>
      <c r="D344" t="s">
        <v>22</v>
      </c>
      <c r="E344" t="s">
        <v>23</v>
      </c>
      <c r="F344" s="5">
        <v>9.99</v>
      </c>
      <c r="G344" s="5">
        <v>9.99</v>
      </c>
    </row>
    <row r="345" spans="1:7" x14ac:dyDescent="0.25">
      <c r="A345" s="7"/>
      <c r="B345" t="str">
        <f>_xlfn.XLOOKUP(Export[[#This Row],[store]],Table2[store '#],Table2[Franchise])</f>
        <v>Tacoma</v>
      </c>
      <c r="C345">
        <v>5296</v>
      </c>
      <c r="D345" t="s">
        <v>24</v>
      </c>
      <c r="E345" t="s">
        <v>25</v>
      </c>
      <c r="F345" s="5">
        <v>12.99</v>
      </c>
      <c r="G345" s="5">
        <v>12.99</v>
      </c>
    </row>
    <row r="346" spans="1:7" x14ac:dyDescent="0.25">
      <c r="A346" s="7"/>
      <c r="B346" t="str">
        <f>_xlfn.XLOOKUP(Export[[#This Row],[store]],Table2[store '#],Table2[Franchise])</f>
        <v>Tacoma</v>
      </c>
      <c r="C346">
        <v>5296</v>
      </c>
      <c r="D346" t="s">
        <v>26</v>
      </c>
      <c r="E346" t="s">
        <v>27</v>
      </c>
      <c r="F346" s="5">
        <v>15.99</v>
      </c>
      <c r="G346" s="5">
        <v>15.99</v>
      </c>
    </row>
    <row r="347" spans="1:7" x14ac:dyDescent="0.25">
      <c r="A347" s="7"/>
      <c r="B347" t="str">
        <f>_xlfn.XLOOKUP(Export[[#This Row],[store]],Table2[store '#],Table2[Franchise])</f>
        <v>Tacoma</v>
      </c>
      <c r="C347">
        <v>5296</v>
      </c>
      <c r="D347" t="s">
        <v>28</v>
      </c>
      <c r="E347" t="s">
        <v>29</v>
      </c>
      <c r="F347" s="6">
        <v>10</v>
      </c>
      <c r="G347" s="6">
        <v>10</v>
      </c>
    </row>
    <row r="348" spans="1:7" x14ac:dyDescent="0.25">
      <c r="A348" s="7"/>
      <c r="B348" t="str">
        <f>_xlfn.XLOOKUP(Export[[#This Row],[store]],Table2[store '#],Table2[Franchise])</f>
        <v>Tacoma</v>
      </c>
      <c r="C348">
        <v>5296</v>
      </c>
      <c r="D348" t="s">
        <v>30</v>
      </c>
      <c r="E348" t="s">
        <v>31</v>
      </c>
      <c r="F348" s="5">
        <v>15.99</v>
      </c>
      <c r="G348" s="5">
        <v>15.99</v>
      </c>
    </row>
    <row r="349" spans="1:7" x14ac:dyDescent="0.25">
      <c r="A349" s="7"/>
      <c r="B349" t="str">
        <f>_xlfn.XLOOKUP(Export[[#This Row],[store]],Table2[store '#],Table2[Franchise])</f>
        <v>Tacoma</v>
      </c>
      <c r="C349">
        <v>5296</v>
      </c>
      <c r="D349" t="s">
        <v>32</v>
      </c>
      <c r="E349" t="s">
        <v>33</v>
      </c>
      <c r="F349" s="5">
        <v>18.989999999999998</v>
      </c>
      <c r="G349" s="5">
        <v>18.989999999999998</v>
      </c>
    </row>
    <row r="350" spans="1:7" x14ac:dyDescent="0.25">
      <c r="A350" s="7"/>
      <c r="B350" t="str">
        <f>_xlfn.XLOOKUP(Export[[#This Row],[store]],Table2[store '#],Table2[Franchise])</f>
        <v>Tacoma</v>
      </c>
      <c r="C350">
        <v>5296</v>
      </c>
      <c r="D350" t="s">
        <v>34</v>
      </c>
      <c r="E350" t="s">
        <v>35</v>
      </c>
      <c r="F350" s="5">
        <v>25.99</v>
      </c>
      <c r="G350" s="5">
        <v>25.99</v>
      </c>
    </row>
    <row r="351" spans="1:7" x14ac:dyDescent="0.25">
      <c r="A351" s="7"/>
      <c r="B351" t="str">
        <f>_xlfn.XLOOKUP(Export[[#This Row],[store]],Table2[store '#],Table2[Franchise])</f>
        <v>Tacoma</v>
      </c>
      <c r="C351">
        <v>5296</v>
      </c>
      <c r="D351" t="s">
        <v>38</v>
      </c>
      <c r="E351" t="s">
        <v>39</v>
      </c>
      <c r="F351" s="5">
        <v>29.99</v>
      </c>
      <c r="G351" s="5">
        <v>29.99</v>
      </c>
    </row>
    <row r="352" spans="1:7" x14ac:dyDescent="0.25">
      <c r="A352" s="7"/>
      <c r="B352" t="str">
        <f>_xlfn.XLOOKUP(Export[[#This Row],[store]],Table2[store '#],Table2[Franchise])</f>
        <v>Tacoma</v>
      </c>
      <c r="C352">
        <v>5296</v>
      </c>
      <c r="D352" t="s">
        <v>40</v>
      </c>
      <c r="E352" t="s">
        <v>41</v>
      </c>
      <c r="F352" s="5">
        <v>14.99</v>
      </c>
      <c r="G352" s="5">
        <v>14.99</v>
      </c>
    </row>
    <row r="353" spans="1:7" x14ac:dyDescent="0.25">
      <c r="A353" s="7"/>
      <c r="B353" t="str">
        <f>_xlfn.XLOOKUP(Export[[#This Row],[store]],Table2[store '#],Table2[Franchise])</f>
        <v>Tacoma</v>
      </c>
      <c r="C353">
        <v>5296</v>
      </c>
      <c r="D353" t="s">
        <v>42</v>
      </c>
      <c r="E353" t="s">
        <v>43</v>
      </c>
    </row>
    <row r="354" spans="1:7" x14ac:dyDescent="0.25">
      <c r="A354" s="7"/>
      <c r="B354" t="str">
        <f>_xlfn.XLOOKUP(Export[[#This Row],[store]],Table2[store '#],Table2[Franchise])</f>
        <v>Tacoma</v>
      </c>
      <c r="C354">
        <v>5296</v>
      </c>
      <c r="D354" t="s">
        <v>44</v>
      </c>
      <c r="E354" t="s">
        <v>45</v>
      </c>
    </row>
    <row r="355" spans="1:7" x14ac:dyDescent="0.25">
      <c r="A355" s="7"/>
      <c r="B355" t="str">
        <f>_xlfn.XLOOKUP(Export[[#This Row],[store]],Table2[store '#],Table2[Franchise])</f>
        <v>Tacoma</v>
      </c>
      <c r="C355">
        <v>2306</v>
      </c>
      <c r="D355" t="s">
        <v>18</v>
      </c>
      <c r="E355" t="s">
        <v>19</v>
      </c>
      <c r="F355" s="5">
        <v>13.99</v>
      </c>
      <c r="G355" s="5">
        <v>13.99</v>
      </c>
    </row>
    <row r="356" spans="1:7" x14ac:dyDescent="0.25">
      <c r="A356" s="7"/>
      <c r="B356" t="str">
        <f>_xlfn.XLOOKUP(Export[[#This Row],[store]],Table2[store '#],Table2[Franchise])</f>
        <v>Tacoma</v>
      </c>
      <c r="C356">
        <v>2306</v>
      </c>
      <c r="D356" t="s">
        <v>20</v>
      </c>
      <c r="E356" t="s">
        <v>21</v>
      </c>
      <c r="F356" s="5">
        <v>4.99</v>
      </c>
      <c r="G356" s="5">
        <v>4.99</v>
      </c>
    </row>
    <row r="357" spans="1:7" x14ac:dyDescent="0.25">
      <c r="A357" s="7"/>
      <c r="B357" t="str">
        <f>_xlfn.XLOOKUP(Export[[#This Row],[store]],Table2[store '#],Table2[Franchise])</f>
        <v>Tacoma</v>
      </c>
      <c r="C357">
        <v>2306</v>
      </c>
      <c r="D357" t="s">
        <v>6</v>
      </c>
      <c r="E357" t="s">
        <v>7</v>
      </c>
      <c r="F357" s="5">
        <v>6.99</v>
      </c>
      <c r="G357" s="5">
        <v>6.99</v>
      </c>
    </row>
    <row r="358" spans="1:7" x14ac:dyDescent="0.25">
      <c r="A358" s="7"/>
      <c r="B358" t="str">
        <f>_xlfn.XLOOKUP(Export[[#This Row],[store]],Table2[store '#],Table2[Franchise])</f>
        <v>Tacoma</v>
      </c>
      <c r="C358">
        <v>2306</v>
      </c>
      <c r="D358" t="s">
        <v>22</v>
      </c>
      <c r="E358" t="s">
        <v>23</v>
      </c>
      <c r="F358" s="5">
        <v>9.99</v>
      </c>
      <c r="G358" s="5">
        <v>9.99</v>
      </c>
    </row>
    <row r="359" spans="1:7" x14ac:dyDescent="0.25">
      <c r="A359" s="7"/>
      <c r="B359" t="str">
        <f>_xlfn.XLOOKUP(Export[[#This Row],[store]],Table2[store '#],Table2[Franchise])</f>
        <v>Tacoma</v>
      </c>
      <c r="C359">
        <v>2306</v>
      </c>
      <c r="D359" t="s">
        <v>24</v>
      </c>
      <c r="E359" t="s">
        <v>25</v>
      </c>
      <c r="F359" s="5">
        <v>12.99</v>
      </c>
      <c r="G359" s="5">
        <v>12.99</v>
      </c>
    </row>
    <row r="360" spans="1:7" x14ac:dyDescent="0.25">
      <c r="A360" s="7"/>
      <c r="B360" t="str">
        <f>_xlfn.XLOOKUP(Export[[#This Row],[store]],Table2[store '#],Table2[Franchise])</f>
        <v>Tacoma</v>
      </c>
      <c r="C360">
        <v>2306</v>
      </c>
      <c r="D360" t="s">
        <v>26</v>
      </c>
      <c r="E360" t="s">
        <v>27</v>
      </c>
      <c r="F360" s="5">
        <v>15.99</v>
      </c>
      <c r="G360" s="5">
        <v>15.99</v>
      </c>
    </row>
    <row r="361" spans="1:7" x14ac:dyDescent="0.25">
      <c r="A361" s="7"/>
      <c r="B361" t="str">
        <f>_xlfn.XLOOKUP(Export[[#This Row],[store]],Table2[store '#],Table2[Franchise])</f>
        <v>Tacoma</v>
      </c>
      <c r="C361">
        <v>2306</v>
      </c>
      <c r="D361" t="s">
        <v>28</v>
      </c>
      <c r="E361" t="s">
        <v>29</v>
      </c>
      <c r="F361" s="6">
        <v>10</v>
      </c>
      <c r="G361" s="6">
        <v>10</v>
      </c>
    </row>
    <row r="362" spans="1:7" x14ac:dyDescent="0.25">
      <c r="A362" s="7"/>
      <c r="B362" t="str">
        <f>_xlfn.XLOOKUP(Export[[#This Row],[store]],Table2[store '#],Table2[Franchise])</f>
        <v>Tacoma</v>
      </c>
      <c r="C362">
        <v>2306</v>
      </c>
      <c r="D362" t="s">
        <v>30</v>
      </c>
      <c r="E362" t="s">
        <v>31</v>
      </c>
      <c r="F362" s="5">
        <v>15.99</v>
      </c>
      <c r="G362" s="5">
        <v>15.99</v>
      </c>
    </row>
    <row r="363" spans="1:7" x14ac:dyDescent="0.25">
      <c r="A363" s="7"/>
      <c r="B363" t="str">
        <f>_xlfn.XLOOKUP(Export[[#This Row],[store]],Table2[store '#],Table2[Franchise])</f>
        <v>Tacoma</v>
      </c>
      <c r="C363">
        <v>2306</v>
      </c>
      <c r="D363" t="s">
        <v>32</v>
      </c>
      <c r="E363" t="s">
        <v>33</v>
      </c>
      <c r="F363" s="5">
        <v>18.989999999999998</v>
      </c>
      <c r="G363" s="5">
        <v>18.989999999999998</v>
      </c>
    </row>
    <row r="364" spans="1:7" x14ac:dyDescent="0.25">
      <c r="A364" s="7"/>
      <c r="B364" t="str">
        <f>_xlfn.XLOOKUP(Export[[#This Row],[store]],Table2[store '#],Table2[Franchise])</f>
        <v>Tacoma</v>
      </c>
      <c r="C364">
        <v>2306</v>
      </c>
      <c r="D364" t="s">
        <v>34</v>
      </c>
      <c r="E364" t="s">
        <v>35</v>
      </c>
      <c r="F364" s="5">
        <v>25.99</v>
      </c>
      <c r="G364" s="5">
        <v>25.99</v>
      </c>
    </row>
    <row r="365" spans="1:7" x14ac:dyDescent="0.25">
      <c r="A365" s="7"/>
      <c r="B365" t="str">
        <f>_xlfn.XLOOKUP(Export[[#This Row],[store]],Table2[store '#],Table2[Franchise])</f>
        <v>Tacoma</v>
      </c>
      <c r="C365">
        <v>2306</v>
      </c>
      <c r="D365" t="s">
        <v>36</v>
      </c>
      <c r="E365" t="s">
        <v>37</v>
      </c>
      <c r="F365" s="5">
        <v>15.99</v>
      </c>
      <c r="G365" s="5">
        <v>15.99</v>
      </c>
    </row>
    <row r="366" spans="1:7" x14ac:dyDescent="0.25">
      <c r="A366" s="7"/>
      <c r="B366" t="str">
        <f>_xlfn.XLOOKUP(Export[[#This Row],[store]],Table2[store '#],Table2[Franchise])</f>
        <v>Tacoma</v>
      </c>
      <c r="C366">
        <v>2306</v>
      </c>
      <c r="D366" t="s">
        <v>38</v>
      </c>
      <c r="E366" t="s">
        <v>39</v>
      </c>
      <c r="F366" s="5">
        <v>29.99</v>
      </c>
      <c r="G366" s="5">
        <v>29.99</v>
      </c>
    </row>
    <row r="367" spans="1:7" x14ac:dyDescent="0.25">
      <c r="A367" s="7"/>
      <c r="B367" t="str">
        <f>_xlfn.XLOOKUP(Export[[#This Row],[store]],Table2[store '#],Table2[Franchise])</f>
        <v>Tacoma</v>
      </c>
      <c r="C367">
        <v>2306</v>
      </c>
      <c r="D367" t="s">
        <v>40</v>
      </c>
      <c r="E367" t="s">
        <v>41</v>
      </c>
      <c r="F367" s="5">
        <v>14.99</v>
      </c>
      <c r="G367" s="5">
        <v>14.99</v>
      </c>
    </row>
    <row r="368" spans="1:7" x14ac:dyDescent="0.25">
      <c r="A368" s="7"/>
      <c r="B368" t="str">
        <f>_xlfn.XLOOKUP(Export[[#This Row],[store]],Table2[store '#],Table2[Franchise])</f>
        <v>Tacoma</v>
      </c>
      <c r="C368">
        <v>2306</v>
      </c>
      <c r="D368" t="s">
        <v>42</v>
      </c>
      <c r="E368" t="s">
        <v>43</v>
      </c>
    </row>
    <row r="369" spans="1:7" x14ac:dyDescent="0.25">
      <c r="A369" s="7"/>
      <c r="B369" t="str">
        <f>_xlfn.XLOOKUP(Export[[#This Row],[store]],Table2[store '#],Table2[Franchise])</f>
        <v>Tacoma</v>
      </c>
      <c r="C369">
        <v>2306</v>
      </c>
      <c r="D369" t="s">
        <v>44</v>
      </c>
      <c r="E369" t="s">
        <v>45</v>
      </c>
    </row>
    <row r="370" spans="1:7" x14ac:dyDescent="0.25">
      <c r="A370" s="7"/>
      <c r="B370" t="str">
        <f>_xlfn.XLOOKUP(Export[[#This Row],[store]],Table2[store '#],Table2[Franchise])</f>
        <v>Tacoma</v>
      </c>
      <c r="C370">
        <v>2618</v>
      </c>
      <c r="D370" t="s">
        <v>18</v>
      </c>
      <c r="E370" t="s">
        <v>19</v>
      </c>
      <c r="F370" s="5">
        <v>13.99</v>
      </c>
      <c r="G370" s="5">
        <v>13.99</v>
      </c>
    </row>
    <row r="371" spans="1:7" x14ac:dyDescent="0.25">
      <c r="A371" s="7"/>
      <c r="B371" t="str">
        <f>_xlfn.XLOOKUP(Export[[#This Row],[store]],Table2[store '#],Table2[Franchise])</f>
        <v>Tacoma</v>
      </c>
      <c r="C371">
        <v>2618</v>
      </c>
      <c r="D371" t="s">
        <v>20</v>
      </c>
      <c r="E371" t="s">
        <v>21</v>
      </c>
      <c r="F371" s="5">
        <v>4.99</v>
      </c>
      <c r="G371" s="5">
        <v>4.99</v>
      </c>
    </row>
    <row r="372" spans="1:7" x14ac:dyDescent="0.25">
      <c r="A372" s="7"/>
      <c r="B372" t="str">
        <f>_xlfn.XLOOKUP(Export[[#This Row],[store]],Table2[store '#],Table2[Franchise])</f>
        <v>Tacoma</v>
      </c>
      <c r="C372">
        <v>2618</v>
      </c>
      <c r="D372" t="s">
        <v>6</v>
      </c>
      <c r="E372" t="s">
        <v>7</v>
      </c>
      <c r="F372" s="5">
        <v>6.99</v>
      </c>
      <c r="G372" s="5">
        <v>6.99</v>
      </c>
    </row>
    <row r="373" spans="1:7" x14ac:dyDescent="0.25">
      <c r="A373" s="7"/>
      <c r="B373" t="str">
        <f>_xlfn.XLOOKUP(Export[[#This Row],[store]],Table2[store '#],Table2[Franchise])</f>
        <v>Tacoma</v>
      </c>
      <c r="C373">
        <v>2618</v>
      </c>
      <c r="D373" t="s">
        <v>22</v>
      </c>
      <c r="E373" t="s">
        <v>23</v>
      </c>
      <c r="F373" s="5">
        <v>9.99</v>
      </c>
      <c r="G373" s="5">
        <v>9.99</v>
      </c>
    </row>
    <row r="374" spans="1:7" x14ac:dyDescent="0.25">
      <c r="A374" s="7"/>
      <c r="B374" t="str">
        <f>_xlfn.XLOOKUP(Export[[#This Row],[store]],Table2[store '#],Table2[Franchise])</f>
        <v>Tacoma</v>
      </c>
      <c r="C374">
        <v>2618</v>
      </c>
      <c r="D374" t="s">
        <v>24</v>
      </c>
      <c r="E374" t="s">
        <v>25</v>
      </c>
      <c r="F374" s="5">
        <v>12.99</v>
      </c>
      <c r="G374" s="5">
        <v>12.99</v>
      </c>
    </row>
    <row r="375" spans="1:7" x14ac:dyDescent="0.25">
      <c r="A375" s="7"/>
      <c r="B375" t="str">
        <f>_xlfn.XLOOKUP(Export[[#This Row],[store]],Table2[store '#],Table2[Franchise])</f>
        <v>Tacoma</v>
      </c>
      <c r="C375">
        <v>2618</v>
      </c>
      <c r="D375" t="s">
        <v>26</v>
      </c>
      <c r="E375" t="s">
        <v>27</v>
      </c>
      <c r="F375" s="5">
        <v>15.99</v>
      </c>
      <c r="G375" s="5">
        <v>15.99</v>
      </c>
    </row>
    <row r="376" spans="1:7" x14ac:dyDescent="0.25">
      <c r="A376" s="7"/>
      <c r="B376" t="str">
        <f>_xlfn.XLOOKUP(Export[[#This Row],[store]],Table2[store '#],Table2[Franchise])</f>
        <v>Tacoma</v>
      </c>
      <c r="C376">
        <v>2618</v>
      </c>
      <c r="D376" t="s">
        <v>28</v>
      </c>
      <c r="E376" t="s">
        <v>29</v>
      </c>
      <c r="F376" s="6">
        <v>10</v>
      </c>
      <c r="G376" s="6">
        <v>10</v>
      </c>
    </row>
    <row r="377" spans="1:7" x14ac:dyDescent="0.25">
      <c r="A377" s="7"/>
      <c r="B377" t="str">
        <f>_xlfn.XLOOKUP(Export[[#This Row],[store]],Table2[store '#],Table2[Franchise])</f>
        <v>Tacoma</v>
      </c>
      <c r="C377">
        <v>2618</v>
      </c>
      <c r="D377" t="s">
        <v>30</v>
      </c>
      <c r="E377" t="s">
        <v>31</v>
      </c>
      <c r="F377" s="5">
        <v>15.99</v>
      </c>
      <c r="G377" s="5">
        <v>15.99</v>
      </c>
    </row>
    <row r="378" spans="1:7" x14ac:dyDescent="0.25">
      <c r="A378" s="7"/>
      <c r="B378" t="str">
        <f>_xlfn.XLOOKUP(Export[[#This Row],[store]],Table2[store '#],Table2[Franchise])</f>
        <v>Tacoma</v>
      </c>
      <c r="C378">
        <v>2618</v>
      </c>
      <c r="D378" t="s">
        <v>32</v>
      </c>
      <c r="E378" t="s">
        <v>33</v>
      </c>
      <c r="F378" s="5">
        <v>18.989999999999998</v>
      </c>
      <c r="G378" s="5">
        <v>18.989999999999998</v>
      </c>
    </row>
    <row r="379" spans="1:7" x14ac:dyDescent="0.25">
      <c r="A379" s="7"/>
      <c r="B379" t="str">
        <f>_xlfn.XLOOKUP(Export[[#This Row],[store]],Table2[store '#],Table2[Franchise])</f>
        <v>Tacoma</v>
      </c>
      <c r="C379">
        <v>2618</v>
      </c>
      <c r="D379" t="s">
        <v>34</v>
      </c>
      <c r="E379" t="s">
        <v>35</v>
      </c>
      <c r="F379" s="5">
        <v>25.99</v>
      </c>
      <c r="G379" s="5">
        <v>25.99</v>
      </c>
    </row>
    <row r="380" spans="1:7" x14ac:dyDescent="0.25">
      <c r="A380" s="7"/>
      <c r="B380" t="str">
        <f>_xlfn.XLOOKUP(Export[[#This Row],[store]],Table2[store '#],Table2[Franchise])</f>
        <v>Tacoma</v>
      </c>
      <c r="C380">
        <v>2618</v>
      </c>
      <c r="D380" t="s">
        <v>36</v>
      </c>
      <c r="E380" t="s">
        <v>37</v>
      </c>
      <c r="F380" s="5">
        <v>15.99</v>
      </c>
      <c r="G380" s="5">
        <v>15.99</v>
      </c>
    </row>
    <row r="381" spans="1:7" x14ac:dyDescent="0.25">
      <c r="A381" s="7"/>
      <c r="B381" t="str">
        <f>_xlfn.XLOOKUP(Export[[#This Row],[store]],Table2[store '#],Table2[Franchise])</f>
        <v>Tacoma</v>
      </c>
      <c r="C381">
        <v>2618</v>
      </c>
      <c r="D381" t="s">
        <v>38</v>
      </c>
      <c r="E381" t="s">
        <v>39</v>
      </c>
      <c r="F381" s="5">
        <v>29.99</v>
      </c>
      <c r="G381" s="5">
        <v>29.99</v>
      </c>
    </row>
    <row r="382" spans="1:7" x14ac:dyDescent="0.25">
      <c r="A382" s="7"/>
      <c r="B382" t="str">
        <f>_xlfn.XLOOKUP(Export[[#This Row],[store]],Table2[store '#],Table2[Franchise])</f>
        <v>Tacoma</v>
      </c>
      <c r="C382">
        <v>2618</v>
      </c>
      <c r="D382" t="s">
        <v>40</v>
      </c>
      <c r="E382" t="s">
        <v>41</v>
      </c>
      <c r="F382" s="5">
        <v>14.99</v>
      </c>
      <c r="G382" s="5">
        <v>14.99</v>
      </c>
    </row>
    <row r="383" spans="1:7" x14ac:dyDescent="0.25">
      <c r="A383" s="7"/>
      <c r="B383" t="str">
        <f>_xlfn.XLOOKUP(Export[[#This Row],[store]],Table2[store '#],Table2[Franchise])</f>
        <v>Tacoma</v>
      </c>
      <c r="C383">
        <v>2618</v>
      </c>
      <c r="D383" t="s">
        <v>42</v>
      </c>
      <c r="E383" t="s">
        <v>43</v>
      </c>
    </row>
    <row r="384" spans="1:7" x14ac:dyDescent="0.25">
      <c r="A384" s="7"/>
      <c r="B384" t="str">
        <f>_xlfn.XLOOKUP(Export[[#This Row],[store]],Table2[store '#],Table2[Franchise])</f>
        <v>Tacoma</v>
      </c>
      <c r="C384">
        <v>2618</v>
      </c>
      <c r="D384" t="s">
        <v>44</v>
      </c>
      <c r="E384" t="s">
        <v>45</v>
      </c>
    </row>
    <row r="385" spans="1:7" x14ac:dyDescent="0.25">
      <c r="A385" s="7"/>
      <c r="B385" t="str">
        <f>_xlfn.XLOOKUP(Export[[#This Row],[store]],Table2[store '#],Table2[Franchise])</f>
        <v>Tacoma</v>
      </c>
      <c r="C385">
        <v>3130</v>
      </c>
      <c r="D385" t="s">
        <v>18</v>
      </c>
      <c r="E385" t="s">
        <v>19</v>
      </c>
      <c r="F385" s="5">
        <v>13.99</v>
      </c>
      <c r="G385" s="5">
        <v>13.99</v>
      </c>
    </row>
    <row r="386" spans="1:7" x14ac:dyDescent="0.25">
      <c r="A386" s="7"/>
      <c r="B386" t="str">
        <f>_xlfn.XLOOKUP(Export[[#This Row],[store]],Table2[store '#],Table2[Franchise])</f>
        <v>Tacoma</v>
      </c>
      <c r="C386">
        <v>3130</v>
      </c>
      <c r="D386" t="s">
        <v>20</v>
      </c>
      <c r="E386" t="s">
        <v>21</v>
      </c>
      <c r="F386" s="5">
        <v>4.99</v>
      </c>
      <c r="G386" s="5">
        <v>4.99</v>
      </c>
    </row>
    <row r="387" spans="1:7" x14ac:dyDescent="0.25">
      <c r="A387" s="7"/>
      <c r="B387" t="str">
        <f>_xlfn.XLOOKUP(Export[[#This Row],[store]],Table2[store '#],Table2[Franchise])</f>
        <v>Tacoma</v>
      </c>
      <c r="C387">
        <v>3130</v>
      </c>
      <c r="D387" t="s">
        <v>6</v>
      </c>
      <c r="E387" t="s">
        <v>7</v>
      </c>
      <c r="F387" s="5">
        <v>6.99</v>
      </c>
      <c r="G387" s="5">
        <v>6.99</v>
      </c>
    </row>
    <row r="388" spans="1:7" x14ac:dyDescent="0.25">
      <c r="A388" s="7"/>
      <c r="B388" t="str">
        <f>_xlfn.XLOOKUP(Export[[#This Row],[store]],Table2[store '#],Table2[Franchise])</f>
        <v>Tacoma</v>
      </c>
      <c r="C388">
        <v>3130</v>
      </c>
      <c r="D388" t="s">
        <v>22</v>
      </c>
      <c r="E388" t="s">
        <v>23</v>
      </c>
      <c r="F388" s="5">
        <v>9.99</v>
      </c>
      <c r="G388" s="5">
        <v>9.99</v>
      </c>
    </row>
    <row r="389" spans="1:7" x14ac:dyDescent="0.25">
      <c r="A389" s="7"/>
      <c r="B389" t="str">
        <f>_xlfn.XLOOKUP(Export[[#This Row],[store]],Table2[store '#],Table2[Franchise])</f>
        <v>Tacoma</v>
      </c>
      <c r="C389">
        <v>3130</v>
      </c>
      <c r="D389" t="s">
        <v>24</v>
      </c>
      <c r="E389" t="s">
        <v>25</v>
      </c>
      <c r="F389" s="5">
        <v>12.99</v>
      </c>
      <c r="G389" s="5">
        <v>12.99</v>
      </c>
    </row>
    <row r="390" spans="1:7" x14ac:dyDescent="0.25">
      <c r="A390" s="7"/>
      <c r="B390" t="str">
        <f>_xlfn.XLOOKUP(Export[[#This Row],[store]],Table2[store '#],Table2[Franchise])</f>
        <v>Tacoma</v>
      </c>
      <c r="C390">
        <v>3130</v>
      </c>
      <c r="D390" t="s">
        <v>26</v>
      </c>
      <c r="E390" t="s">
        <v>27</v>
      </c>
      <c r="F390" s="5">
        <v>15.99</v>
      </c>
      <c r="G390" s="5">
        <v>15.99</v>
      </c>
    </row>
    <row r="391" spans="1:7" x14ac:dyDescent="0.25">
      <c r="A391" s="7"/>
      <c r="B391" t="str">
        <f>_xlfn.XLOOKUP(Export[[#This Row],[store]],Table2[store '#],Table2[Franchise])</f>
        <v>Tacoma</v>
      </c>
      <c r="C391">
        <v>3130</v>
      </c>
      <c r="D391" t="s">
        <v>28</v>
      </c>
      <c r="E391" t="s">
        <v>29</v>
      </c>
      <c r="F391" s="6">
        <v>10</v>
      </c>
      <c r="G391" s="6">
        <v>10</v>
      </c>
    </row>
    <row r="392" spans="1:7" x14ac:dyDescent="0.25">
      <c r="A392" s="7"/>
      <c r="B392" t="str">
        <f>_xlfn.XLOOKUP(Export[[#This Row],[store]],Table2[store '#],Table2[Franchise])</f>
        <v>Tacoma</v>
      </c>
      <c r="C392">
        <v>3130</v>
      </c>
      <c r="D392" t="s">
        <v>30</v>
      </c>
      <c r="E392" t="s">
        <v>31</v>
      </c>
      <c r="F392" s="5">
        <v>15.99</v>
      </c>
      <c r="G392" s="5">
        <v>15.99</v>
      </c>
    </row>
    <row r="393" spans="1:7" x14ac:dyDescent="0.25">
      <c r="A393" s="7"/>
      <c r="B393" t="str">
        <f>_xlfn.XLOOKUP(Export[[#This Row],[store]],Table2[store '#],Table2[Franchise])</f>
        <v>Tacoma</v>
      </c>
      <c r="C393">
        <v>3130</v>
      </c>
      <c r="D393" t="s">
        <v>32</v>
      </c>
      <c r="E393" t="s">
        <v>33</v>
      </c>
      <c r="F393" s="5">
        <v>18.989999999999998</v>
      </c>
      <c r="G393" s="5">
        <v>18.989999999999998</v>
      </c>
    </row>
    <row r="394" spans="1:7" x14ac:dyDescent="0.25">
      <c r="A394" s="7"/>
      <c r="B394" t="str">
        <f>_xlfn.XLOOKUP(Export[[#This Row],[store]],Table2[store '#],Table2[Franchise])</f>
        <v>Tacoma</v>
      </c>
      <c r="C394">
        <v>3130</v>
      </c>
      <c r="D394" t="s">
        <v>34</v>
      </c>
      <c r="E394" t="s">
        <v>35</v>
      </c>
      <c r="F394" s="5">
        <v>25.99</v>
      </c>
      <c r="G394" s="5">
        <v>25.99</v>
      </c>
    </row>
    <row r="395" spans="1:7" x14ac:dyDescent="0.25">
      <c r="A395" s="7"/>
      <c r="B395" t="str">
        <f>_xlfn.XLOOKUP(Export[[#This Row],[store]],Table2[store '#],Table2[Franchise])</f>
        <v>Tacoma</v>
      </c>
      <c r="C395">
        <v>3130</v>
      </c>
      <c r="D395" t="s">
        <v>36</v>
      </c>
      <c r="E395" t="s">
        <v>37</v>
      </c>
      <c r="F395" s="5">
        <v>15.99</v>
      </c>
      <c r="G395" s="5">
        <v>15.99</v>
      </c>
    </row>
    <row r="396" spans="1:7" x14ac:dyDescent="0.25">
      <c r="A396" s="7"/>
      <c r="B396" t="str">
        <f>_xlfn.XLOOKUP(Export[[#This Row],[store]],Table2[store '#],Table2[Franchise])</f>
        <v>Tacoma</v>
      </c>
      <c r="C396">
        <v>3130</v>
      </c>
      <c r="D396" t="s">
        <v>38</v>
      </c>
      <c r="E396" t="s">
        <v>39</v>
      </c>
      <c r="F396" s="5">
        <v>29.99</v>
      </c>
      <c r="G396" s="5">
        <v>29.99</v>
      </c>
    </row>
    <row r="397" spans="1:7" x14ac:dyDescent="0.25">
      <c r="A397" s="7"/>
      <c r="B397" t="str">
        <f>_xlfn.XLOOKUP(Export[[#This Row],[store]],Table2[store '#],Table2[Franchise])</f>
        <v>Tacoma</v>
      </c>
      <c r="C397">
        <v>3130</v>
      </c>
      <c r="D397" t="s">
        <v>40</v>
      </c>
      <c r="E397" t="s">
        <v>41</v>
      </c>
      <c r="F397" s="5">
        <v>14.99</v>
      </c>
      <c r="G397" s="5">
        <v>14.99</v>
      </c>
    </row>
    <row r="398" spans="1:7" x14ac:dyDescent="0.25">
      <c r="A398" s="7"/>
      <c r="B398" t="str">
        <f>_xlfn.XLOOKUP(Export[[#This Row],[store]],Table2[store '#],Table2[Franchise])</f>
        <v>Tacoma</v>
      </c>
      <c r="C398">
        <v>3130</v>
      </c>
      <c r="D398" t="s">
        <v>42</v>
      </c>
      <c r="E398" t="s">
        <v>43</v>
      </c>
    </row>
    <row r="399" spans="1:7" x14ac:dyDescent="0.25">
      <c r="A399" s="7"/>
      <c r="B399" t="str">
        <f>_xlfn.XLOOKUP(Export[[#This Row],[store]],Table2[store '#],Table2[Franchise])</f>
        <v>Tacoma</v>
      </c>
      <c r="C399">
        <v>3130</v>
      </c>
      <c r="D399" t="s">
        <v>44</v>
      </c>
      <c r="E399" t="s">
        <v>45</v>
      </c>
    </row>
    <row r="400" spans="1:7" x14ac:dyDescent="0.25">
      <c r="A400" s="7"/>
      <c r="B400" t="str">
        <f>_xlfn.XLOOKUP(Export[[#This Row],[store]],Table2[store '#],Table2[Franchise])</f>
        <v>Tacoma</v>
      </c>
      <c r="C400">
        <v>3479</v>
      </c>
      <c r="D400" t="s">
        <v>18</v>
      </c>
      <c r="E400" t="s">
        <v>19</v>
      </c>
      <c r="F400" s="5">
        <v>13.99</v>
      </c>
      <c r="G400" s="5">
        <v>13.99</v>
      </c>
    </row>
    <row r="401" spans="1:7" x14ac:dyDescent="0.25">
      <c r="A401" s="7"/>
      <c r="B401" t="str">
        <f>_xlfn.XLOOKUP(Export[[#This Row],[store]],Table2[store '#],Table2[Franchise])</f>
        <v>Tacoma</v>
      </c>
      <c r="C401">
        <v>3479</v>
      </c>
      <c r="D401" t="s">
        <v>20</v>
      </c>
      <c r="E401" t="s">
        <v>21</v>
      </c>
      <c r="F401" s="5">
        <v>4.99</v>
      </c>
      <c r="G401" s="5">
        <v>4.99</v>
      </c>
    </row>
    <row r="402" spans="1:7" x14ac:dyDescent="0.25">
      <c r="A402" s="7"/>
      <c r="B402" t="str">
        <f>_xlfn.XLOOKUP(Export[[#This Row],[store]],Table2[store '#],Table2[Franchise])</f>
        <v>Tacoma</v>
      </c>
      <c r="C402">
        <v>3479</v>
      </c>
      <c r="D402" t="s">
        <v>6</v>
      </c>
      <c r="E402" t="s">
        <v>7</v>
      </c>
      <c r="F402" s="5">
        <v>6.99</v>
      </c>
      <c r="G402" s="5">
        <v>6.99</v>
      </c>
    </row>
    <row r="403" spans="1:7" x14ac:dyDescent="0.25">
      <c r="A403" s="7"/>
      <c r="B403" t="str">
        <f>_xlfn.XLOOKUP(Export[[#This Row],[store]],Table2[store '#],Table2[Franchise])</f>
        <v>Tacoma</v>
      </c>
      <c r="C403">
        <v>3479</v>
      </c>
      <c r="D403" t="s">
        <v>22</v>
      </c>
      <c r="E403" t="s">
        <v>23</v>
      </c>
      <c r="F403" s="5">
        <v>9.99</v>
      </c>
      <c r="G403" s="5">
        <v>9.99</v>
      </c>
    </row>
    <row r="404" spans="1:7" x14ac:dyDescent="0.25">
      <c r="A404" s="7"/>
      <c r="B404" t="str">
        <f>_xlfn.XLOOKUP(Export[[#This Row],[store]],Table2[store '#],Table2[Franchise])</f>
        <v>Tacoma</v>
      </c>
      <c r="C404">
        <v>3479</v>
      </c>
      <c r="D404" t="s">
        <v>24</v>
      </c>
      <c r="E404" t="s">
        <v>25</v>
      </c>
      <c r="F404" s="5">
        <v>12.99</v>
      </c>
      <c r="G404" s="5">
        <v>12.99</v>
      </c>
    </row>
    <row r="405" spans="1:7" x14ac:dyDescent="0.25">
      <c r="A405" s="7"/>
      <c r="B405" t="str">
        <f>_xlfn.XLOOKUP(Export[[#This Row],[store]],Table2[store '#],Table2[Franchise])</f>
        <v>Tacoma</v>
      </c>
      <c r="C405">
        <v>3479</v>
      </c>
      <c r="D405" t="s">
        <v>26</v>
      </c>
      <c r="E405" t="s">
        <v>27</v>
      </c>
      <c r="F405" s="5">
        <v>15.99</v>
      </c>
      <c r="G405" s="5">
        <v>15.99</v>
      </c>
    </row>
    <row r="406" spans="1:7" x14ac:dyDescent="0.25">
      <c r="A406" s="7"/>
      <c r="B406" t="str">
        <f>_xlfn.XLOOKUP(Export[[#This Row],[store]],Table2[store '#],Table2[Franchise])</f>
        <v>Tacoma</v>
      </c>
      <c r="C406">
        <v>3479</v>
      </c>
      <c r="D406" t="s">
        <v>28</v>
      </c>
      <c r="E406" t="s">
        <v>29</v>
      </c>
      <c r="F406" s="6">
        <v>10</v>
      </c>
      <c r="G406" s="6">
        <v>10</v>
      </c>
    </row>
    <row r="407" spans="1:7" x14ac:dyDescent="0.25">
      <c r="A407" s="7"/>
      <c r="B407" t="str">
        <f>_xlfn.XLOOKUP(Export[[#This Row],[store]],Table2[store '#],Table2[Franchise])</f>
        <v>Tacoma</v>
      </c>
      <c r="C407">
        <v>3479</v>
      </c>
      <c r="D407" t="s">
        <v>30</v>
      </c>
      <c r="E407" t="s">
        <v>31</v>
      </c>
      <c r="F407" s="5">
        <v>15.99</v>
      </c>
      <c r="G407" s="5">
        <v>15.99</v>
      </c>
    </row>
    <row r="408" spans="1:7" x14ac:dyDescent="0.25">
      <c r="A408" s="7"/>
      <c r="B408" t="str">
        <f>_xlfn.XLOOKUP(Export[[#This Row],[store]],Table2[store '#],Table2[Franchise])</f>
        <v>Tacoma</v>
      </c>
      <c r="C408">
        <v>3479</v>
      </c>
      <c r="D408" t="s">
        <v>32</v>
      </c>
      <c r="E408" t="s">
        <v>33</v>
      </c>
      <c r="F408" s="5">
        <v>18.989999999999998</v>
      </c>
      <c r="G408" s="5">
        <v>18.989999999999998</v>
      </c>
    </row>
    <row r="409" spans="1:7" x14ac:dyDescent="0.25">
      <c r="A409" s="7"/>
      <c r="B409" t="str">
        <f>_xlfn.XLOOKUP(Export[[#This Row],[store]],Table2[store '#],Table2[Franchise])</f>
        <v>Tacoma</v>
      </c>
      <c r="C409">
        <v>3479</v>
      </c>
      <c r="D409" t="s">
        <v>34</v>
      </c>
      <c r="E409" t="s">
        <v>35</v>
      </c>
      <c r="F409" s="5">
        <v>25.99</v>
      </c>
      <c r="G409" s="5">
        <v>25.99</v>
      </c>
    </row>
    <row r="410" spans="1:7" x14ac:dyDescent="0.25">
      <c r="A410" s="7"/>
      <c r="B410" t="str">
        <f>_xlfn.XLOOKUP(Export[[#This Row],[store]],Table2[store '#],Table2[Franchise])</f>
        <v>Tacoma</v>
      </c>
      <c r="C410">
        <v>3479</v>
      </c>
      <c r="D410" t="s">
        <v>36</v>
      </c>
      <c r="E410" t="s">
        <v>37</v>
      </c>
      <c r="F410" s="5">
        <v>15.99</v>
      </c>
      <c r="G410" s="5">
        <v>15.99</v>
      </c>
    </row>
    <row r="411" spans="1:7" x14ac:dyDescent="0.25">
      <c r="A411" s="7"/>
      <c r="B411" t="str">
        <f>_xlfn.XLOOKUP(Export[[#This Row],[store]],Table2[store '#],Table2[Franchise])</f>
        <v>Tacoma</v>
      </c>
      <c r="C411">
        <v>3479</v>
      </c>
      <c r="D411" t="s">
        <v>38</v>
      </c>
      <c r="E411" t="s">
        <v>39</v>
      </c>
      <c r="F411" s="5">
        <v>29.99</v>
      </c>
      <c r="G411" s="5">
        <v>29.99</v>
      </c>
    </row>
    <row r="412" spans="1:7" x14ac:dyDescent="0.25">
      <c r="A412" s="7"/>
      <c r="B412" t="str">
        <f>_xlfn.XLOOKUP(Export[[#This Row],[store]],Table2[store '#],Table2[Franchise])</f>
        <v>Tacoma</v>
      </c>
      <c r="C412">
        <v>3479</v>
      </c>
      <c r="D412" t="s">
        <v>40</v>
      </c>
      <c r="E412" t="s">
        <v>41</v>
      </c>
      <c r="F412" s="5">
        <v>14.99</v>
      </c>
      <c r="G412" s="5">
        <v>14.99</v>
      </c>
    </row>
    <row r="413" spans="1:7" x14ac:dyDescent="0.25">
      <c r="A413" s="7"/>
      <c r="B413" t="str">
        <f>_xlfn.XLOOKUP(Export[[#This Row],[store]],Table2[store '#],Table2[Franchise])</f>
        <v>Tacoma</v>
      </c>
      <c r="C413">
        <v>3479</v>
      </c>
      <c r="D413" t="s">
        <v>42</v>
      </c>
      <c r="E413" t="s">
        <v>43</v>
      </c>
    </row>
    <row r="414" spans="1:7" x14ac:dyDescent="0.25">
      <c r="A414" s="7"/>
      <c r="B414" t="str">
        <f>_xlfn.XLOOKUP(Export[[#This Row],[store]],Table2[store '#],Table2[Franchise])</f>
        <v>Tacoma</v>
      </c>
      <c r="C414">
        <v>3479</v>
      </c>
      <c r="D414" t="s">
        <v>44</v>
      </c>
      <c r="E414" t="s">
        <v>45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443EC-1ACA-460F-B8C9-6E8DFA8FCC5B}">
  <sheetPr codeName="Sheet3"/>
  <dimension ref="A2:F217"/>
  <sheetViews>
    <sheetView workbookViewId="0">
      <selection activeCell="R31" sqref="R31"/>
    </sheetView>
  </sheetViews>
  <sheetFormatPr defaultRowHeight="15" x14ac:dyDescent="0.25"/>
  <cols>
    <col min="5" max="5" width="17.7109375" bestFit="1" customWidth="1"/>
  </cols>
  <sheetData>
    <row r="2" spans="1:6" x14ac:dyDescent="0.25">
      <c r="A2">
        <f>IF(Pivot!B1="(All)",0,1)</f>
        <v>0</v>
      </c>
      <c r="B2">
        <f>IF(Pivot!B2="(All)",0,2)</f>
        <v>0</v>
      </c>
      <c r="C2">
        <f>SUM(A2:B2)</f>
        <v>0</v>
      </c>
    </row>
    <row r="4" spans="1:6" x14ac:dyDescent="0.25">
      <c r="A4" cm="1">
        <f t="array" ref="A4:A29">_xlfn.UNIQUE(_xlfn.CHOOSECOLS(IF($C$2=0,Export[],IF($C$2=1,_xlfn._xlws.FILTER(Export[],Export[Source.Name]=Pivot!$B$1),IF(Reference!$C$2=2,_xlfn._xlws.FILTER(Export[],Export[[DO or Franchise Name  ]]=Pivot!$B$2),IF(Reference!C2=3,_xlfn._xlws.FILTER(Export[],(Export[Source.Name]=Pivot!$B$1)*(Export[[DO or Franchise Name  ]]=Pivot!$B$2)),"error")))),3))</f>
        <v>1740</v>
      </c>
      <c r="C4" cm="1">
        <f t="array" ref="C4:C217">_xlfn.VSTACK(Pivot!A7:A220)</f>
        <v>1740</v>
      </c>
      <c r="E4" t="s">
        <v>16</v>
      </c>
      <c r="F4" t="str">
        <f>_xlfn.TEXTJOIN(", ",TRUE,TRANSPOSE(_xlfn.VSTACK(Pivot!$A$7:$A$220)))</f>
        <v>1740, 1743, 2172, 2174, 2208, 2236, 2272, 2306, 2325, 2457, 2478, 2549, 2603, 2612, 2618, 2687, 2921, 2953, 3015, 3130, 3479, 3498, 4405, 4778, 5293, 5296</v>
      </c>
    </row>
    <row r="5" spans="1:6" x14ac:dyDescent="0.25">
      <c r="A5">
        <v>1743</v>
      </c>
      <c r="C5">
        <v>1743</v>
      </c>
      <c r="E5" t="s">
        <v>15</v>
      </c>
      <c r="F5" t="str" cm="1">
        <f t="array" ref="F5">IFERROR(_xlfn.TEXTJOIN(", ",TRUE,TRANSPOSE(_xlfn.UNIQUE(_xlfn.VSTACK(_xlfn.UNIQUE(_xlfn.CHOOSECOLS(IF($C$2=0,Export[],IF($C$2=1,_xlfn._xlws.FILTER(Export[],Export[Source.Name]=Pivot!$B$1),IF(Reference!$C$2=2,_xlfn._xlws.FILTER(Export[],Export[[DO or Franchise Name  ]]=Pivot!$B$2),IF(Reference!$C$2=3,_xlfn._xlws.FILTER(Export[],(Export[Source.Name]=Pivot!$B$1)*(Export[[DO or Franchise Name  ]]=Pivot!$B$2)),"error")))),3)),_xlfn.VSTACK(Pivot!$A$7:$A$220)),,TRUE))),"None")</f>
        <v>None</v>
      </c>
    </row>
    <row r="6" spans="1:6" x14ac:dyDescent="0.25">
      <c r="A6">
        <v>2172</v>
      </c>
      <c r="C6">
        <v>2172</v>
      </c>
    </row>
    <row r="7" spans="1:6" x14ac:dyDescent="0.25">
      <c r="A7">
        <v>2174</v>
      </c>
      <c r="C7">
        <v>2174</v>
      </c>
    </row>
    <row r="8" spans="1:6" x14ac:dyDescent="0.25">
      <c r="A8">
        <v>2236</v>
      </c>
      <c r="C8">
        <v>2208</v>
      </c>
    </row>
    <row r="9" spans="1:6" x14ac:dyDescent="0.25">
      <c r="A9">
        <v>2272</v>
      </c>
      <c r="C9">
        <v>2236</v>
      </c>
    </row>
    <row r="10" spans="1:6" x14ac:dyDescent="0.25">
      <c r="A10">
        <v>2457</v>
      </c>
      <c r="C10">
        <v>2272</v>
      </c>
    </row>
    <row r="11" spans="1:6" x14ac:dyDescent="0.25">
      <c r="A11">
        <v>2549</v>
      </c>
      <c r="C11">
        <v>2306</v>
      </c>
    </row>
    <row r="12" spans="1:6" x14ac:dyDescent="0.25">
      <c r="A12">
        <v>2603</v>
      </c>
      <c r="C12">
        <v>2325</v>
      </c>
    </row>
    <row r="13" spans="1:6" x14ac:dyDescent="0.25">
      <c r="A13">
        <v>2953</v>
      </c>
      <c r="C13">
        <v>2457</v>
      </c>
    </row>
    <row r="14" spans="1:6" x14ac:dyDescent="0.25">
      <c r="A14">
        <v>3498</v>
      </c>
      <c r="C14">
        <v>2478</v>
      </c>
    </row>
    <row r="15" spans="1:6" x14ac:dyDescent="0.25">
      <c r="A15">
        <v>4778</v>
      </c>
      <c r="C15">
        <v>2549</v>
      </c>
    </row>
    <row r="16" spans="1:6" x14ac:dyDescent="0.25">
      <c r="A16">
        <v>2208</v>
      </c>
      <c r="C16">
        <v>2603</v>
      </c>
    </row>
    <row r="17" spans="1:3" x14ac:dyDescent="0.25">
      <c r="A17">
        <v>2325</v>
      </c>
      <c r="C17">
        <v>2612</v>
      </c>
    </row>
    <row r="18" spans="1:3" x14ac:dyDescent="0.25">
      <c r="A18">
        <v>2478</v>
      </c>
      <c r="C18">
        <v>2618</v>
      </c>
    </row>
    <row r="19" spans="1:3" x14ac:dyDescent="0.25">
      <c r="A19">
        <v>2612</v>
      </c>
      <c r="C19">
        <v>2687</v>
      </c>
    </row>
    <row r="20" spans="1:3" x14ac:dyDescent="0.25">
      <c r="A20">
        <v>2687</v>
      </c>
      <c r="C20">
        <v>2921</v>
      </c>
    </row>
    <row r="21" spans="1:3" x14ac:dyDescent="0.25">
      <c r="A21">
        <v>2921</v>
      </c>
      <c r="C21">
        <v>2953</v>
      </c>
    </row>
    <row r="22" spans="1:3" x14ac:dyDescent="0.25">
      <c r="A22">
        <v>3015</v>
      </c>
      <c r="C22">
        <v>3015</v>
      </c>
    </row>
    <row r="23" spans="1:3" x14ac:dyDescent="0.25">
      <c r="A23">
        <v>4405</v>
      </c>
      <c r="C23">
        <v>3130</v>
      </c>
    </row>
    <row r="24" spans="1:3" x14ac:dyDescent="0.25">
      <c r="A24">
        <v>5293</v>
      </c>
      <c r="C24">
        <v>3479</v>
      </c>
    </row>
    <row r="25" spans="1:3" x14ac:dyDescent="0.25">
      <c r="A25">
        <v>5296</v>
      </c>
      <c r="C25">
        <v>3498</v>
      </c>
    </row>
    <row r="26" spans="1:3" x14ac:dyDescent="0.25">
      <c r="A26">
        <v>2306</v>
      </c>
      <c r="C26">
        <v>4405</v>
      </c>
    </row>
    <row r="27" spans="1:3" x14ac:dyDescent="0.25">
      <c r="A27">
        <v>2618</v>
      </c>
      <c r="C27">
        <v>4778</v>
      </c>
    </row>
    <row r="28" spans="1:3" x14ac:dyDescent="0.25">
      <c r="A28">
        <v>3130</v>
      </c>
      <c r="C28">
        <v>5293</v>
      </c>
    </row>
    <row r="29" spans="1:3" x14ac:dyDescent="0.25">
      <c r="A29">
        <v>3479</v>
      </c>
      <c r="C29">
        <v>5296</v>
      </c>
    </row>
    <row r="30" spans="1:3" x14ac:dyDescent="0.25">
      <c r="C30">
        <v>0</v>
      </c>
    </row>
    <row r="31" spans="1:3" x14ac:dyDescent="0.25">
      <c r="C31">
        <v>0</v>
      </c>
    </row>
    <row r="32" spans="1:3" x14ac:dyDescent="0.25">
      <c r="C32">
        <v>0</v>
      </c>
    </row>
    <row r="33" spans="3:3" x14ac:dyDescent="0.25">
      <c r="C33">
        <v>0</v>
      </c>
    </row>
    <row r="34" spans="3:3" x14ac:dyDescent="0.25">
      <c r="C34">
        <v>0</v>
      </c>
    </row>
    <row r="35" spans="3:3" x14ac:dyDescent="0.25">
      <c r="C35">
        <v>0</v>
      </c>
    </row>
    <row r="36" spans="3:3" x14ac:dyDescent="0.25">
      <c r="C36">
        <v>0</v>
      </c>
    </row>
    <row r="37" spans="3:3" x14ac:dyDescent="0.25">
      <c r="C37">
        <v>0</v>
      </c>
    </row>
    <row r="38" spans="3:3" x14ac:dyDescent="0.25">
      <c r="C38">
        <v>0</v>
      </c>
    </row>
    <row r="39" spans="3:3" x14ac:dyDescent="0.25">
      <c r="C39">
        <v>0</v>
      </c>
    </row>
    <row r="40" spans="3:3" x14ac:dyDescent="0.25">
      <c r="C40">
        <v>0</v>
      </c>
    </row>
    <row r="41" spans="3:3" x14ac:dyDescent="0.25">
      <c r="C41">
        <v>0</v>
      </c>
    </row>
    <row r="42" spans="3:3" x14ac:dyDescent="0.25">
      <c r="C42">
        <v>0</v>
      </c>
    </row>
    <row r="43" spans="3:3" x14ac:dyDescent="0.25">
      <c r="C43">
        <v>0</v>
      </c>
    </row>
    <row r="44" spans="3:3" x14ac:dyDescent="0.25">
      <c r="C44">
        <v>0</v>
      </c>
    </row>
    <row r="45" spans="3:3" x14ac:dyDescent="0.25">
      <c r="C45">
        <v>0</v>
      </c>
    </row>
    <row r="46" spans="3:3" x14ac:dyDescent="0.25">
      <c r="C46">
        <v>0</v>
      </c>
    </row>
    <row r="47" spans="3:3" x14ac:dyDescent="0.25">
      <c r="C47">
        <v>0</v>
      </c>
    </row>
    <row r="48" spans="3:3" x14ac:dyDescent="0.25">
      <c r="C48">
        <v>0</v>
      </c>
    </row>
    <row r="49" spans="3:3" x14ac:dyDescent="0.25">
      <c r="C49">
        <v>0</v>
      </c>
    </row>
    <row r="50" spans="3:3" x14ac:dyDescent="0.25">
      <c r="C50">
        <v>0</v>
      </c>
    </row>
    <row r="51" spans="3:3" x14ac:dyDescent="0.25">
      <c r="C51">
        <v>0</v>
      </c>
    </row>
    <row r="52" spans="3:3" x14ac:dyDescent="0.25">
      <c r="C52">
        <v>0</v>
      </c>
    </row>
    <row r="53" spans="3:3" x14ac:dyDescent="0.25">
      <c r="C53">
        <v>0</v>
      </c>
    </row>
    <row r="54" spans="3:3" x14ac:dyDescent="0.25">
      <c r="C54">
        <v>0</v>
      </c>
    </row>
    <row r="55" spans="3:3" x14ac:dyDescent="0.25">
      <c r="C55">
        <v>0</v>
      </c>
    </row>
    <row r="56" spans="3:3" x14ac:dyDescent="0.25">
      <c r="C56">
        <v>0</v>
      </c>
    </row>
    <row r="57" spans="3:3" x14ac:dyDescent="0.25">
      <c r="C57">
        <v>0</v>
      </c>
    </row>
    <row r="58" spans="3:3" x14ac:dyDescent="0.25">
      <c r="C58">
        <v>0</v>
      </c>
    </row>
    <row r="59" spans="3:3" x14ac:dyDescent="0.25">
      <c r="C59">
        <v>0</v>
      </c>
    </row>
    <row r="60" spans="3:3" x14ac:dyDescent="0.25">
      <c r="C60">
        <v>0</v>
      </c>
    </row>
    <row r="61" spans="3:3" x14ac:dyDescent="0.25">
      <c r="C61">
        <v>0</v>
      </c>
    </row>
    <row r="62" spans="3:3" x14ac:dyDescent="0.25">
      <c r="C62">
        <v>0</v>
      </c>
    </row>
    <row r="63" spans="3:3" x14ac:dyDescent="0.25">
      <c r="C63">
        <v>0</v>
      </c>
    </row>
    <row r="64" spans="3:3" x14ac:dyDescent="0.25">
      <c r="C64">
        <v>0</v>
      </c>
    </row>
    <row r="65" spans="3:3" x14ac:dyDescent="0.25">
      <c r="C65">
        <v>0</v>
      </c>
    </row>
    <row r="66" spans="3:3" x14ac:dyDescent="0.25">
      <c r="C66">
        <v>0</v>
      </c>
    </row>
    <row r="67" spans="3:3" x14ac:dyDescent="0.25">
      <c r="C67">
        <v>0</v>
      </c>
    </row>
    <row r="68" spans="3:3" x14ac:dyDescent="0.25">
      <c r="C68">
        <v>0</v>
      </c>
    </row>
    <row r="69" spans="3:3" x14ac:dyDescent="0.25">
      <c r="C69">
        <v>0</v>
      </c>
    </row>
    <row r="70" spans="3:3" x14ac:dyDescent="0.25">
      <c r="C70">
        <v>0</v>
      </c>
    </row>
    <row r="71" spans="3:3" x14ac:dyDescent="0.25">
      <c r="C71">
        <v>0</v>
      </c>
    </row>
    <row r="72" spans="3:3" x14ac:dyDescent="0.25">
      <c r="C72">
        <v>0</v>
      </c>
    </row>
    <row r="73" spans="3:3" x14ac:dyDescent="0.25">
      <c r="C73">
        <v>0</v>
      </c>
    </row>
    <row r="74" spans="3:3" x14ac:dyDescent="0.25">
      <c r="C74">
        <v>0</v>
      </c>
    </row>
    <row r="75" spans="3:3" x14ac:dyDescent="0.25">
      <c r="C75">
        <v>0</v>
      </c>
    </row>
    <row r="76" spans="3:3" x14ac:dyDescent="0.25">
      <c r="C76">
        <v>0</v>
      </c>
    </row>
    <row r="77" spans="3:3" x14ac:dyDescent="0.25">
      <c r="C77">
        <v>0</v>
      </c>
    </row>
    <row r="78" spans="3:3" x14ac:dyDescent="0.25">
      <c r="C78">
        <v>0</v>
      </c>
    </row>
    <row r="79" spans="3:3" x14ac:dyDescent="0.25">
      <c r="C79">
        <v>0</v>
      </c>
    </row>
    <row r="80" spans="3:3" x14ac:dyDescent="0.25">
      <c r="C80">
        <v>0</v>
      </c>
    </row>
    <row r="81" spans="3:3" x14ac:dyDescent="0.25">
      <c r="C81">
        <v>0</v>
      </c>
    </row>
    <row r="82" spans="3:3" x14ac:dyDescent="0.25">
      <c r="C82">
        <v>0</v>
      </c>
    </row>
    <row r="83" spans="3:3" x14ac:dyDescent="0.25">
      <c r="C83">
        <v>0</v>
      </c>
    </row>
    <row r="84" spans="3:3" x14ac:dyDescent="0.25">
      <c r="C84">
        <v>0</v>
      </c>
    </row>
    <row r="85" spans="3:3" x14ac:dyDescent="0.25">
      <c r="C85">
        <v>0</v>
      </c>
    </row>
    <row r="86" spans="3:3" x14ac:dyDescent="0.25">
      <c r="C86">
        <v>0</v>
      </c>
    </row>
    <row r="87" spans="3:3" x14ac:dyDescent="0.25">
      <c r="C87">
        <v>0</v>
      </c>
    </row>
    <row r="88" spans="3:3" x14ac:dyDescent="0.25">
      <c r="C88">
        <v>0</v>
      </c>
    </row>
    <row r="89" spans="3:3" x14ac:dyDescent="0.25">
      <c r="C89">
        <v>0</v>
      </c>
    </row>
    <row r="90" spans="3:3" x14ac:dyDescent="0.25">
      <c r="C90">
        <v>0</v>
      </c>
    </row>
    <row r="91" spans="3:3" x14ac:dyDescent="0.25">
      <c r="C91">
        <v>0</v>
      </c>
    </row>
    <row r="92" spans="3:3" x14ac:dyDescent="0.25">
      <c r="C92">
        <v>0</v>
      </c>
    </row>
    <row r="93" spans="3:3" x14ac:dyDescent="0.25">
      <c r="C93">
        <v>0</v>
      </c>
    </row>
    <row r="94" spans="3:3" x14ac:dyDescent="0.25">
      <c r="C94">
        <v>0</v>
      </c>
    </row>
    <row r="95" spans="3:3" x14ac:dyDescent="0.25">
      <c r="C95">
        <v>0</v>
      </c>
    </row>
    <row r="96" spans="3:3" x14ac:dyDescent="0.25">
      <c r="C96">
        <v>0</v>
      </c>
    </row>
    <row r="97" spans="3:3" x14ac:dyDescent="0.25">
      <c r="C97">
        <v>0</v>
      </c>
    </row>
    <row r="98" spans="3:3" x14ac:dyDescent="0.25">
      <c r="C98">
        <v>0</v>
      </c>
    </row>
    <row r="99" spans="3:3" x14ac:dyDescent="0.25">
      <c r="C99">
        <v>0</v>
      </c>
    </row>
    <row r="100" spans="3:3" x14ac:dyDescent="0.25">
      <c r="C100">
        <v>0</v>
      </c>
    </row>
    <row r="101" spans="3:3" x14ac:dyDescent="0.25">
      <c r="C101">
        <v>0</v>
      </c>
    </row>
    <row r="102" spans="3:3" x14ac:dyDescent="0.25">
      <c r="C102">
        <v>0</v>
      </c>
    </row>
    <row r="103" spans="3:3" x14ac:dyDescent="0.25">
      <c r="C103">
        <v>0</v>
      </c>
    </row>
    <row r="104" spans="3:3" x14ac:dyDescent="0.25">
      <c r="C104">
        <v>0</v>
      </c>
    </row>
    <row r="105" spans="3:3" x14ac:dyDescent="0.25">
      <c r="C105">
        <v>0</v>
      </c>
    </row>
    <row r="106" spans="3:3" x14ac:dyDescent="0.25">
      <c r="C106">
        <v>0</v>
      </c>
    </row>
    <row r="107" spans="3:3" x14ac:dyDescent="0.25">
      <c r="C107">
        <v>0</v>
      </c>
    </row>
    <row r="108" spans="3:3" x14ac:dyDescent="0.25">
      <c r="C108">
        <v>0</v>
      </c>
    </row>
    <row r="109" spans="3:3" x14ac:dyDescent="0.25">
      <c r="C109">
        <v>0</v>
      </c>
    </row>
    <row r="110" spans="3:3" x14ac:dyDescent="0.25">
      <c r="C110">
        <v>0</v>
      </c>
    </row>
    <row r="111" spans="3:3" x14ac:dyDescent="0.25">
      <c r="C111">
        <v>0</v>
      </c>
    </row>
    <row r="112" spans="3:3" x14ac:dyDescent="0.25">
      <c r="C112">
        <v>0</v>
      </c>
    </row>
    <row r="113" spans="3:3" x14ac:dyDescent="0.25">
      <c r="C113">
        <v>0</v>
      </c>
    </row>
    <row r="114" spans="3:3" x14ac:dyDescent="0.25">
      <c r="C114">
        <v>0</v>
      </c>
    </row>
    <row r="115" spans="3:3" x14ac:dyDescent="0.25">
      <c r="C115">
        <v>0</v>
      </c>
    </row>
    <row r="116" spans="3:3" x14ac:dyDescent="0.25">
      <c r="C116">
        <v>0</v>
      </c>
    </row>
    <row r="117" spans="3:3" x14ac:dyDescent="0.25">
      <c r="C117">
        <v>0</v>
      </c>
    </row>
    <row r="118" spans="3:3" x14ac:dyDescent="0.25">
      <c r="C118">
        <v>0</v>
      </c>
    </row>
    <row r="119" spans="3:3" x14ac:dyDescent="0.25">
      <c r="C119">
        <v>0</v>
      </c>
    </row>
    <row r="120" spans="3:3" x14ac:dyDescent="0.25">
      <c r="C120">
        <v>0</v>
      </c>
    </row>
    <row r="121" spans="3:3" x14ac:dyDescent="0.25">
      <c r="C121">
        <v>0</v>
      </c>
    </row>
    <row r="122" spans="3:3" x14ac:dyDescent="0.25">
      <c r="C122">
        <v>0</v>
      </c>
    </row>
    <row r="123" spans="3:3" x14ac:dyDescent="0.25">
      <c r="C123">
        <v>0</v>
      </c>
    </row>
    <row r="124" spans="3:3" x14ac:dyDescent="0.25">
      <c r="C124">
        <v>0</v>
      </c>
    </row>
    <row r="125" spans="3:3" x14ac:dyDescent="0.25">
      <c r="C125">
        <v>0</v>
      </c>
    </row>
    <row r="126" spans="3:3" x14ac:dyDescent="0.25">
      <c r="C126">
        <v>0</v>
      </c>
    </row>
    <row r="127" spans="3:3" x14ac:dyDescent="0.25">
      <c r="C127">
        <v>0</v>
      </c>
    </row>
    <row r="128" spans="3:3" x14ac:dyDescent="0.25">
      <c r="C128">
        <v>0</v>
      </c>
    </row>
    <row r="129" spans="3:3" x14ac:dyDescent="0.25">
      <c r="C129">
        <v>0</v>
      </c>
    </row>
    <row r="130" spans="3:3" x14ac:dyDescent="0.25">
      <c r="C130">
        <v>0</v>
      </c>
    </row>
    <row r="131" spans="3:3" x14ac:dyDescent="0.25">
      <c r="C131">
        <v>0</v>
      </c>
    </row>
    <row r="132" spans="3:3" x14ac:dyDescent="0.25">
      <c r="C132">
        <v>0</v>
      </c>
    </row>
    <row r="133" spans="3:3" x14ac:dyDescent="0.25">
      <c r="C133">
        <v>0</v>
      </c>
    </row>
    <row r="134" spans="3:3" x14ac:dyDescent="0.25">
      <c r="C134">
        <v>0</v>
      </c>
    </row>
    <row r="135" spans="3:3" x14ac:dyDescent="0.25">
      <c r="C135">
        <v>0</v>
      </c>
    </row>
    <row r="136" spans="3:3" x14ac:dyDescent="0.25">
      <c r="C136">
        <v>0</v>
      </c>
    </row>
    <row r="137" spans="3:3" x14ac:dyDescent="0.25">
      <c r="C137">
        <v>0</v>
      </c>
    </row>
    <row r="138" spans="3:3" x14ac:dyDescent="0.25">
      <c r="C138">
        <v>0</v>
      </c>
    </row>
    <row r="139" spans="3:3" x14ac:dyDescent="0.25">
      <c r="C139">
        <v>0</v>
      </c>
    </row>
    <row r="140" spans="3:3" x14ac:dyDescent="0.25">
      <c r="C140">
        <v>0</v>
      </c>
    </row>
    <row r="141" spans="3:3" x14ac:dyDescent="0.25">
      <c r="C141">
        <v>0</v>
      </c>
    </row>
    <row r="142" spans="3:3" x14ac:dyDescent="0.25">
      <c r="C142">
        <v>0</v>
      </c>
    </row>
    <row r="143" spans="3:3" x14ac:dyDescent="0.25">
      <c r="C143">
        <v>0</v>
      </c>
    </row>
    <row r="144" spans="3:3" x14ac:dyDescent="0.25">
      <c r="C144">
        <v>0</v>
      </c>
    </row>
    <row r="145" spans="3:3" x14ac:dyDescent="0.25">
      <c r="C145">
        <v>0</v>
      </c>
    </row>
    <row r="146" spans="3:3" x14ac:dyDescent="0.25">
      <c r="C146">
        <v>0</v>
      </c>
    </row>
    <row r="147" spans="3:3" x14ac:dyDescent="0.25">
      <c r="C147">
        <v>0</v>
      </c>
    </row>
    <row r="148" spans="3:3" x14ac:dyDescent="0.25">
      <c r="C148">
        <v>0</v>
      </c>
    </row>
    <row r="149" spans="3:3" x14ac:dyDescent="0.25">
      <c r="C149">
        <v>0</v>
      </c>
    </row>
    <row r="150" spans="3:3" x14ac:dyDescent="0.25">
      <c r="C150">
        <v>0</v>
      </c>
    </row>
    <row r="151" spans="3:3" x14ac:dyDescent="0.25">
      <c r="C151">
        <v>0</v>
      </c>
    </row>
    <row r="152" spans="3:3" x14ac:dyDescent="0.25">
      <c r="C152">
        <v>0</v>
      </c>
    </row>
    <row r="153" spans="3:3" x14ac:dyDescent="0.25">
      <c r="C153">
        <v>0</v>
      </c>
    </row>
    <row r="154" spans="3:3" x14ac:dyDescent="0.25">
      <c r="C154">
        <v>0</v>
      </c>
    </row>
    <row r="155" spans="3:3" x14ac:dyDescent="0.25">
      <c r="C155">
        <v>0</v>
      </c>
    </row>
    <row r="156" spans="3:3" x14ac:dyDescent="0.25">
      <c r="C156">
        <v>0</v>
      </c>
    </row>
    <row r="157" spans="3:3" x14ac:dyDescent="0.25">
      <c r="C157">
        <v>0</v>
      </c>
    </row>
    <row r="158" spans="3:3" x14ac:dyDescent="0.25">
      <c r="C158">
        <v>0</v>
      </c>
    </row>
    <row r="159" spans="3:3" x14ac:dyDescent="0.25">
      <c r="C159">
        <v>0</v>
      </c>
    </row>
    <row r="160" spans="3:3" x14ac:dyDescent="0.25">
      <c r="C160">
        <v>0</v>
      </c>
    </row>
    <row r="161" spans="3:3" x14ac:dyDescent="0.25">
      <c r="C161">
        <v>0</v>
      </c>
    </row>
    <row r="162" spans="3:3" x14ac:dyDescent="0.25">
      <c r="C162">
        <v>0</v>
      </c>
    </row>
    <row r="163" spans="3:3" x14ac:dyDescent="0.25">
      <c r="C163">
        <v>0</v>
      </c>
    </row>
    <row r="164" spans="3:3" x14ac:dyDescent="0.25">
      <c r="C164">
        <v>0</v>
      </c>
    </row>
    <row r="165" spans="3:3" x14ac:dyDescent="0.25">
      <c r="C165">
        <v>0</v>
      </c>
    </row>
    <row r="166" spans="3:3" x14ac:dyDescent="0.25">
      <c r="C166">
        <v>0</v>
      </c>
    </row>
    <row r="167" spans="3:3" x14ac:dyDescent="0.25">
      <c r="C167">
        <v>0</v>
      </c>
    </row>
    <row r="168" spans="3:3" x14ac:dyDescent="0.25">
      <c r="C168">
        <v>0</v>
      </c>
    </row>
    <row r="169" spans="3:3" x14ac:dyDescent="0.25">
      <c r="C169">
        <v>0</v>
      </c>
    </row>
    <row r="170" spans="3:3" x14ac:dyDescent="0.25">
      <c r="C170">
        <v>0</v>
      </c>
    </row>
    <row r="171" spans="3:3" x14ac:dyDescent="0.25">
      <c r="C171">
        <v>0</v>
      </c>
    </row>
    <row r="172" spans="3:3" x14ac:dyDescent="0.25">
      <c r="C172">
        <v>0</v>
      </c>
    </row>
    <row r="173" spans="3:3" x14ac:dyDescent="0.25">
      <c r="C173">
        <v>0</v>
      </c>
    </row>
    <row r="174" spans="3:3" x14ac:dyDescent="0.25">
      <c r="C174">
        <v>0</v>
      </c>
    </row>
    <row r="175" spans="3:3" x14ac:dyDescent="0.25">
      <c r="C175">
        <v>0</v>
      </c>
    </row>
    <row r="176" spans="3:3" x14ac:dyDescent="0.25">
      <c r="C176">
        <v>0</v>
      </c>
    </row>
    <row r="177" spans="3:3" x14ac:dyDescent="0.25">
      <c r="C177">
        <v>0</v>
      </c>
    </row>
    <row r="178" spans="3:3" x14ac:dyDescent="0.25">
      <c r="C178">
        <v>0</v>
      </c>
    </row>
    <row r="179" spans="3:3" x14ac:dyDescent="0.25">
      <c r="C179">
        <v>0</v>
      </c>
    </row>
    <row r="180" spans="3:3" x14ac:dyDescent="0.25">
      <c r="C180">
        <v>0</v>
      </c>
    </row>
    <row r="181" spans="3:3" x14ac:dyDescent="0.25">
      <c r="C181">
        <v>0</v>
      </c>
    </row>
    <row r="182" spans="3:3" x14ac:dyDescent="0.25">
      <c r="C182">
        <v>0</v>
      </c>
    </row>
    <row r="183" spans="3:3" x14ac:dyDescent="0.25">
      <c r="C183">
        <v>0</v>
      </c>
    </row>
    <row r="184" spans="3:3" x14ac:dyDescent="0.25">
      <c r="C184">
        <v>0</v>
      </c>
    </row>
    <row r="185" spans="3:3" x14ac:dyDescent="0.25">
      <c r="C185">
        <v>0</v>
      </c>
    </row>
    <row r="186" spans="3:3" x14ac:dyDescent="0.25">
      <c r="C186">
        <v>0</v>
      </c>
    </row>
    <row r="187" spans="3:3" x14ac:dyDescent="0.25">
      <c r="C187">
        <v>0</v>
      </c>
    </row>
    <row r="188" spans="3:3" x14ac:dyDescent="0.25">
      <c r="C188">
        <v>0</v>
      </c>
    </row>
    <row r="189" spans="3:3" x14ac:dyDescent="0.25">
      <c r="C189">
        <v>0</v>
      </c>
    </row>
    <row r="190" spans="3:3" x14ac:dyDescent="0.25">
      <c r="C190">
        <v>0</v>
      </c>
    </row>
    <row r="191" spans="3:3" x14ac:dyDescent="0.25">
      <c r="C191">
        <v>0</v>
      </c>
    </row>
    <row r="192" spans="3:3" x14ac:dyDescent="0.25">
      <c r="C192">
        <v>0</v>
      </c>
    </row>
    <row r="193" spans="3:3" x14ac:dyDescent="0.25">
      <c r="C193">
        <v>0</v>
      </c>
    </row>
    <row r="194" spans="3:3" x14ac:dyDescent="0.25">
      <c r="C194">
        <v>0</v>
      </c>
    </row>
    <row r="195" spans="3:3" x14ac:dyDescent="0.25">
      <c r="C195">
        <v>0</v>
      </c>
    </row>
    <row r="196" spans="3:3" x14ac:dyDescent="0.25">
      <c r="C196">
        <v>0</v>
      </c>
    </row>
    <row r="197" spans="3:3" x14ac:dyDescent="0.25">
      <c r="C197">
        <v>0</v>
      </c>
    </row>
    <row r="198" spans="3:3" x14ac:dyDescent="0.25">
      <c r="C198">
        <v>0</v>
      </c>
    </row>
    <row r="199" spans="3:3" x14ac:dyDescent="0.25">
      <c r="C199">
        <v>0</v>
      </c>
    </row>
    <row r="200" spans="3:3" x14ac:dyDescent="0.25">
      <c r="C200">
        <v>0</v>
      </c>
    </row>
    <row r="201" spans="3:3" x14ac:dyDescent="0.25">
      <c r="C201">
        <v>0</v>
      </c>
    </row>
    <row r="202" spans="3:3" x14ac:dyDescent="0.25">
      <c r="C202">
        <v>0</v>
      </c>
    </row>
    <row r="203" spans="3:3" x14ac:dyDescent="0.25">
      <c r="C203">
        <v>0</v>
      </c>
    </row>
    <row r="204" spans="3:3" x14ac:dyDescent="0.25">
      <c r="C204">
        <v>0</v>
      </c>
    </row>
    <row r="205" spans="3:3" x14ac:dyDescent="0.25">
      <c r="C205">
        <v>0</v>
      </c>
    </row>
    <row r="206" spans="3:3" x14ac:dyDescent="0.25">
      <c r="C206">
        <v>0</v>
      </c>
    </row>
    <row r="207" spans="3:3" x14ac:dyDescent="0.25">
      <c r="C207">
        <v>0</v>
      </c>
    </row>
    <row r="208" spans="3:3" x14ac:dyDescent="0.25">
      <c r="C208">
        <v>0</v>
      </c>
    </row>
    <row r="209" spans="3:3" x14ac:dyDescent="0.25">
      <c r="C209">
        <v>0</v>
      </c>
    </row>
    <row r="210" spans="3:3" x14ac:dyDescent="0.25">
      <c r="C210">
        <v>0</v>
      </c>
    </row>
    <row r="211" spans="3:3" x14ac:dyDescent="0.25">
      <c r="C211">
        <v>0</v>
      </c>
    </row>
    <row r="212" spans="3:3" x14ac:dyDescent="0.25">
      <c r="C212">
        <v>0</v>
      </c>
    </row>
    <row r="213" spans="3:3" x14ac:dyDescent="0.25">
      <c r="C213">
        <v>0</v>
      </c>
    </row>
    <row r="214" spans="3:3" x14ac:dyDescent="0.25">
      <c r="C214">
        <v>0</v>
      </c>
    </row>
    <row r="215" spans="3:3" x14ac:dyDescent="0.25">
      <c r="C215">
        <v>0</v>
      </c>
    </row>
    <row r="216" spans="3:3" x14ac:dyDescent="0.25">
      <c r="C216">
        <v>0</v>
      </c>
    </row>
    <row r="217" spans="3:3" x14ac:dyDescent="0.25">
      <c r="C217">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E7525-7128-4EEE-9DA7-3C83DF3836C4}">
  <sheetPr codeName="Sheet4"/>
  <dimension ref="A1:B27"/>
  <sheetViews>
    <sheetView workbookViewId="0">
      <selection activeCell="D10" sqref="D10"/>
    </sheetView>
  </sheetViews>
  <sheetFormatPr defaultRowHeight="15" x14ac:dyDescent="0.25"/>
  <cols>
    <col min="1" max="2" width="11" customWidth="1"/>
  </cols>
  <sheetData>
    <row r="1" spans="1:2" x14ac:dyDescent="0.25">
      <c r="A1" t="s">
        <v>67</v>
      </c>
      <c r="B1" t="s">
        <v>68</v>
      </c>
    </row>
    <row r="2" spans="1:2" x14ac:dyDescent="0.25">
      <c r="A2">
        <v>1740</v>
      </c>
      <c r="B2" t="s">
        <v>65</v>
      </c>
    </row>
    <row r="3" spans="1:2" x14ac:dyDescent="0.25">
      <c r="A3">
        <v>1743</v>
      </c>
      <c r="B3" t="s">
        <v>65</v>
      </c>
    </row>
    <row r="4" spans="1:2" x14ac:dyDescent="0.25">
      <c r="A4">
        <v>2172</v>
      </c>
      <c r="B4" t="s">
        <v>65</v>
      </c>
    </row>
    <row r="5" spans="1:2" x14ac:dyDescent="0.25">
      <c r="A5">
        <v>2174</v>
      </c>
      <c r="B5" t="s">
        <v>65</v>
      </c>
    </row>
    <row r="6" spans="1:2" x14ac:dyDescent="0.25">
      <c r="A6">
        <v>2208</v>
      </c>
      <c r="B6" t="s">
        <v>66</v>
      </c>
    </row>
    <row r="7" spans="1:2" x14ac:dyDescent="0.25">
      <c r="A7">
        <v>2236</v>
      </c>
      <c r="B7" t="s">
        <v>65</v>
      </c>
    </row>
    <row r="8" spans="1:2" x14ac:dyDescent="0.25">
      <c r="A8">
        <v>2272</v>
      </c>
      <c r="B8" t="s">
        <v>65</v>
      </c>
    </row>
    <row r="9" spans="1:2" x14ac:dyDescent="0.25">
      <c r="A9">
        <v>2306</v>
      </c>
      <c r="B9" t="s">
        <v>66</v>
      </c>
    </row>
    <row r="10" spans="1:2" x14ac:dyDescent="0.25">
      <c r="A10">
        <v>2325</v>
      </c>
      <c r="B10" t="s">
        <v>66</v>
      </c>
    </row>
    <row r="11" spans="1:2" x14ac:dyDescent="0.25">
      <c r="A11">
        <v>2457</v>
      </c>
      <c r="B11" t="s">
        <v>65</v>
      </c>
    </row>
    <row r="12" spans="1:2" x14ac:dyDescent="0.25">
      <c r="A12">
        <v>2478</v>
      </c>
      <c r="B12" t="s">
        <v>66</v>
      </c>
    </row>
    <row r="13" spans="1:2" x14ac:dyDescent="0.25">
      <c r="A13">
        <v>2549</v>
      </c>
      <c r="B13" t="s">
        <v>65</v>
      </c>
    </row>
    <row r="14" spans="1:2" x14ac:dyDescent="0.25">
      <c r="A14">
        <v>2603</v>
      </c>
      <c r="B14" t="s">
        <v>65</v>
      </c>
    </row>
    <row r="15" spans="1:2" x14ac:dyDescent="0.25">
      <c r="A15">
        <v>2612</v>
      </c>
      <c r="B15" t="s">
        <v>66</v>
      </c>
    </row>
    <row r="16" spans="1:2" x14ac:dyDescent="0.25">
      <c r="A16">
        <v>2618</v>
      </c>
      <c r="B16" t="s">
        <v>66</v>
      </c>
    </row>
    <row r="17" spans="1:2" x14ac:dyDescent="0.25">
      <c r="A17">
        <v>2687</v>
      </c>
      <c r="B17" t="s">
        <v>66</v>
      </c>
    </row>
    <row r="18" spans="1:2" x14ac:dyDescent="0.25">
      <c r="A18">
        <v>2921</v>
      </c>
      <c r="B18" t="s">
        <v>66</v>
      </c>
    </row>
    <row r="19" spans="1:2" x14ac:dyDescent="0.25">
      <c r="A19">
        <v>2953</v>
      </c>
      <c r="B19" t="s">
        <v>65</v>
      </c>
    </row>
    <row r="20" spans="1:2" x14ac:dyDescent="0.25">
      <c r="A20">
        <v>3015</v>
      </c>
      <c r="B20" t="s">
        <v>66</v>
      </c>
    </row>
    <row r="21" spans="1:2" x14ac:dyDescent="0.25">
      <c r="A21">
        <v>3130</v>
      </c>
      <c r="B21" t="s">
        <v>66</v>
      </c>
    </row>
    <row r="22" spans="1:2" x14ac:dyDescent="0.25">
      <c r="A22">
        <v>3479</v>
      </c>
      <c r="B22" t="s">
        <v>66</v>
      </c>
    </row>
    <row r="23" spans="1:2" x14ac:dyDescent="0.25">
      <c r="A23">
        <v>3498</v>
      </c>
      <c r="B23" t="s">
        <v>65</v>
      </c>
    </row>
    <row r="24" spans="1:2" x14ac:dyDescent="0.25">
      <c r="A24">
        <v>4405</v>
      </c>
      <c r="B24" t="s">
        <v>66</v>
      </c>
    </row>
    <row r="25" spans="1:2" x14ac:dyDescent="0.25">
      <c r="A25">
        <v>4778</v>
      </c>
      <c r="B25" t="s">
        <v>65</v>
      </c>
    </row>
    <row r="26" spans="1:2" x14ac:dyDescent="0.25">
      <c r="A26">
        <v>5293</v>
      </c>
      <c r="B26" t="s">
        <v>66</v>
      </c>
    </row>
    <row r="27" spans="1:2" x14ac:dyDescent="0.25">
      <c r="A27">
        <v>5296</v>
      </c>
      <c r="B27" t="s">
        <v>66</v>
      </c>
    </row>
  </sheetData>
  <sortState xmlns:xlrd2="http://schemas.microsoft.com/office/spreadsheetml/2017/richdata2" ref="A2:A27">
    <sortCondition ref="A2:A27"/>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B21FC17-7F0A-4BB3-BB94-113EE8C248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Buttons</vt:lpstr>
      <vt:lpstr>Pivot</vt:lpstr>
      <vt:lpstr>Unique Offer Titles</vt:lpstr>
      <vt:lpstr>data</vt:lpstr>
      <vt:lpstr>Reference</vt:lpstr>
      <vt:lpstr>gdd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Steele</dc:creator>
  <cp:lastModifiedBy>Justin Druet</cp:lastModifiedBy>
  <dcterms:created xsi:type="dcterms:W3CDTF">2023-11-16T20:16:50Z</dcterms:created>
  <dcterms:modified xsi:type="dcterms:W3CDTF">2024-03-21T02:07:09Z</dcterms:modified>
</cp:coreProperties>
</file>