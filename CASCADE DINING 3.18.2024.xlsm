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tables/table1.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workbookPr hidePivotFieldList="1" defaultThemeVersion="166925"/>
  <mc:AlternateContent xmlns:mc="http://schemas.openxmlformats.org/markup-compatibility/2006">
    <mc:Choice Requires="x15">
      <x15ac:absPath xmlns:x15ac="http://schemas.microsoft.com/office/spreadsheetml/2010/11/ac" url="https://d.docs.live.net/8166e19f59f24ec1/Desktop/Specials Page Project/"/>
    </mc:Choice>
  </mc:AlternateContent>
  <xr:revisionPtr revIDLastSave="5" documentId="8_{2E8EA9B3-9D79-4F1C-9770-5937069BEA32}" xr6:coauthVersionLast="47" xr6:coauthVersionMax="47" xr10:uidLastSave="{C8737E9F-1234-4B8F-92C1-3206A029879C}"/>
  <bookViews>
    <workbookView xWindow="-108" yWindow="-108" windowWidth="23256" windowHeight="12576" activeTab="2" xr2:uid="{8F4DD1F8-308C-4C6B-907A-83070892C3C6}"/>
  </bookViews>
  <sheets>
    <sheet name="Pivot" sheetId="3" r:id="rId1"/>
    <sheet name="Export" sheetId="2" r:id="rId2"/>
    <sheet name="Reference" sheetId="1" r:id="rId3"/>
  </sheets>
  <definedNames>
    <definedName name="ExternalData_1" localSheetId="1" hidden="1">Export!$A$1:$G$150</definedName>
  </definedNames>
  <calcPr calcId="191029"/>
  <pivotCaches>
    <pivotCache cacheId="0" r:id="rId4"/>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4" i="1" l="1"/>
  <c r="F1" i="3" s="1"/>
  <c r="C4" i="1" a="1"/>
  <c r="C4" i="1" s="1"/>
  <c r="B2" i="1"/>
  <c r="A2" i="1"/>
  <c r="C2" i="1" l="1"/>
  <c r="F5" i="1" l="1" a="1"/>
  <c r="F5" i="1" s="1"/>
  <c r="F2" i="3" s="1"/>
  <c r="A4" i="1" a="1"/>
  <c r="A4" i="1"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3B265A8-C100-46E5-82D7-3589F3845391}" keepAlive="1" name="Query - Export" description="Connection to the 'Export' query in the workbook." type="5" refreshedVersion="8" background="1" saveData="1">
    <dbPr connection="Provider=Microsoft.Mashup.OleDb.1;Data Source=$Workbook$;Location=Export;Extended Properties=&quot;&quot;" command="SELECT * FROM [Export]"/>
  </connection>
  <connection id="2" xr16:uid="{2E301DCD-B45B-4BFD-85D1-BE8C6B1C944B}" keepAlive="1" name="Query - GDD" description="Connection to the 'GDD' query in the workbook." type="5" refreshedVersion="0" background="1">
    <dbPr connection="Provider=Microsoft.Mashup.OleDb.1;Data Source=$Workbook$;Location=GDD;Extended Properties=&quot;&quot;" command="SELECT * FROM [GDD]"/>
  </connection>
  <connection id="3" xr16:uid="{448C750F-7C3F-402F-B87E-04E534265749}" keepAlive="1" name="Query - Parameter1" description="Connection to the 'Parameter1' query in the workbook." type="5" refreshedVersion="0" background="1">
    <dbPr connection="Provider=Microsoft.Mashup.OleDb.1;Data Source=$Workbook$;Location=Parameter1;Extended Properties=&quot;&quot;" command="SELECT * FROM [Parameter1]"/>
  </connection>
  <connection id="4" xr16:uid="{DBC71EB5-A9CA-4F95-A5DC-3FE1C6B1C6C9}" keepAlive="1" name="Query - Sample File" description="Connection to the 'Sample File' query in the workbook." type="5" refreshedVersion="0" background="1">
    <dbPr connection="Provider=Microsoft.Mashup.OleDb.1;Data Source=$Workbook$;Location=&quot;Sample File&quot;;Extended Properties=&quot;&quot;" command="SELECT * FROM [Sample File]"/>
  </connection>
  <connection id="5" xr16:uid="{7DC236B0-E8F2-4A41-8011-492D6C023358}" keepAlive="1" name="Query - Transform File" description="Connection to the 'Transform File' query in the workbook." type="5" refreshedVersion="0" background="1">
    <dbPr connection="Provider=Microsoft.Mashup.OleDb.1;Data Source=$Workbook$;Location=&quot;Transform File&quot;;Extended Properties=&quot;&quot;" command="SELECT * FROM [Transform File]"/>
  </connection>
  <connection id="6" xr16:uid="{8EC0B2F3-D0AD-4C6D-9E20-DAB9B4C895F9}" keepAlive="1" name="Query - Transform Sample File" description="Connection to the 'Transform Sample File' query in the workbook." type="5" refreshedVersion="0" background="1">
    <dbPr connection="Provider=Microsoft.Mashup.OleDb.1;Data Source=$Workbook$;Location=&quot;Transform Sample File&quot;;Extended Properties=&quot;&quot;" command="SELECT * FROM [Transform Sample File]"/>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<sst xmlns="http://schemas.openxmlformats.org/spreadsheetml/2006/main" count="605" uniqueCount="48">
  <si>
    <t>Source.Name</t>
  </si>
  <si>
    <t xml:space="preserve">DO or Franchise Name  </t>
  </si>
  <si>
    <t>store</t>
  </si>
  <si>
    <t>offer</t>
  </si>
  <si>
    <t>description</t>
  </si>
  <si>
    <t>price</t>
  </si>
  <si>
    <t>Papa Pairings</t>
  </si>
  <si>
    <t xml:space="preserve"> Craving what you see? Our newest addition to your Papa Pairings possibilities: Wings! Get any of these and more delectable Papa Johns favorites for just $6.99 each when you pair two or more. </t>
  </si>
  <si>
    <t>(All)</t>
  </si>
  <si>
    <t>Row Labels</t>
  </si>
  <si>
    <t>Column Labels</t>
  </si>
  <si>
    <t>Sum of price</t>
  </si>
  <si>
    <t>price sort</t>
  </si>
  <si>
    <t>&lt;----Either "All" or select 1 option, select multiple not allowed</t>
  </si>
  <si>
    <t>Stores Displaying offer(s)</t>
  </si>
  <si>
    <t>Store Not Displaying</t>
  </si>
  <si>
    <t>Stores Displaying</t>
  </si>
  <si>
    <t>Stores Not Displaying offer(s)</t>
  </si>
  <si>
    <t>03.18.24.xlsx</t>
  </si>
  <si>
    <t>CASCADE DINING LLC</t>
  </si>
  <si>
    <t>Garlic Epic Stuffed Crust: A pizza inspired by you</t>
  </si>
  <si>
    <t>Garlic sauce fans, you inspired us! We transformed your love for our garlic sauce into our pizza. Enjoy a 1-topping Garlic Epic Stuffed Crust pizza with garlicky goodness inside the cheesy crust, drizzled onto it, and served on the side.</t>
  </si>
  <si>
    <t>Calzone Papa Bites</t>
  </si>
  <si>
    <t xml:space="preserve"> Indulge in our Calzone Papa Bites. Packed with a blend of mozzarella and garlic herb ricotta, pepperoni, Italian sausage, and green peppers inside our fresh original dough. Served with original pizza sauce on the side for even more calzone flavor. </t>
  </si>
  <si>
    <t>Large 1 Topping Pizza for $9.99  Carryout Only!</t>
  </si>
  <si>
    <t xml:space="preserve"> Large 1 Topping Pizza for $9.99  Carryout Only! </t>
  </si>
  <si>
    <t>Large 1-Topping Pizza</t>
  </si>
  <si>
    <t xml:space="preserve"> Large 1 Topping Pizza for only 12.99, Delivery Only. </t>
  </si>
  <si>
    <t>Epic Stuffed Crust 1-Topping Pizza</t>
  </si>
  <si>
    <t xml:space="preserve"> Epic Stuff Crust 1-Topping Pizza for ONLY $15.99 </t>
  </si>
  <si>
    <t>Any 10" Only $10</t>
  </si>
  <si>
    <t xml:space="preserve"> Any 10" original crust specialty or up to 5-topping pizza ONLY $10 </t>
  </si>
  <si>
    <t>Carryout ONLY! Large Specialty Pizza</t>
  </si>
  <si>
    <t xml:space="preserve"> Large Specialty Pizza $15.99. Carryout ONLY </t>
  </si>
  <si>
    <t>Any Large Pizza - Up to 5 Toppings or Specialty</t>
  </si>
  <si>
    <t xml:space="preserve"> Enjoy your favorite specialty or any 5-topping pizza on our large original or thin crust pizza </t>
  </si>
  <si>
    <t>Two Pizza Deal</t>
  </si>
  <si>
    <t xml:space="preserve"> Two Large Two Topping Pizzas </t>
  </si>
  <si>
    <t>NY-Style 1-Topping Pizza</t>
  </si>
  <si>
    <t xml:space="preserve"> New York Style 1-Topping Pizza </t>
  </si>
  <si>
    <t>Family Special</t>
  </si>
  <si>
    <t xml:space="preserve"> Any large specialty or 5-topping pizza and a large 2-topping pizza </t>
  </si>
  <si>
    <t>Cheesy Calzone Epic Stuffed Crust Pizza</t>
  </si>
  <si>
    <t xml:space="preserve"> We know how to hand stuff our crust with the best flavor combos. Experience calzone flavors like never before, this pizza is made with a blend of mozzarella and garlic herb ricotta stuffed into the crust. Comes with your choice of 1 topping. </t>
  </si>
  <si>
    <t>25% Off Regular Menu Price</t>
  </si>
  <si>
    <t xml:space="preserve"> 25% Off Your Entire Menu Price Order! </t>
  </si>
  <si>
    <t>30% OFF - TOYS FOR KIDS</t>
  </si>
  <si>
    <t xml:space="preserve"> Enjoy 30% off regular menu price items when you apply this promo! Papa Johns will donate 10% of the discounted purchase price to Toys for Kids.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</si>
</sst>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b/>
      <sz val="11"/>
      <color theme="1"/>
      <name val="Calibri"/>
      <family val="2"/>
      <scheme val="minor"/>
    </font>
    <font>
      <b/>
      <sz val="11"/>
      <color rgb="FFFF0000"/>
      <name val="Calibri"/>
      <family val="2"/>
      <scheme val="minor"/>
    </font>
  </fonts>
  <fills count="3">
    <fill>
      <patternFill patternType="none"/>
    </fill>
    <fill>
      <patternFill patternType="gray125"/>
    </fill>
    <fill>
      <patternFill patternType="solid">
        <fgColor theme="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6">
    <xf numFmtId="0" fontId="0" fillId="0" borderId="0" xfId="0"/>
    <xf numFmtId="0" fontId="0" fillId="0" borderId="0" xfId="0" pivotButton="1"/>
    <xf numFmtId="0" fontId="0" fillId="0" borderId="0" xfId="0" applyAlignment="1">
      <alignment horizontal="left"/>
    </xf>
    <xf numFmtId="0" fontId="2" fillId="2" borderId="1" xfId="0" applyFont="1" applyFill="1" applyBorder="1"/>
    <xf numFmtId="0" fontId="1" fillId="0" borderId="1" xfId="0" applyFont="1" applyBorder="1"/>
    <xf numFmtId="0" fontId="0" fillId="0" borderId="0" xfId="0" applyNumberFormat="1"/>
  </cellXfs>
  <cellStyles count="1">
    <cellStyle name="Normal" xfId="0" builtinId="0"/>
  </cellStyles>
  <dxfs count="4">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11" Type="http://schemas.openxmlformats.org/officeDocument/2006/relationships/customXml" Target="../customXml/item1.xml"/><Relationship Id="rId5" Type="http://schemas.openxmlformats.org/officeDocument/2006/relationships/theme" Target="theme/theme1.xml"/><Relationship Id="rId10" Type="http://schemas.openxmlformats.org/officeDocument/2006/relationships/calcChain" Target="calcChain.xml"/><Relationship Id="rId4" Type="http://schemas.openxmlformats.org/officeDocument/2006/relationships/pivotCacheDefinition" Target="pivotCache/pivotCacheDefinition1.xml"/><Relationship Id="rId9" Type="http://schemas.openxmlformats.org/officeDocument/2006/relationships/sheetMetadata" Target="metadata.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rian" refreshedDate="45369.863537847225" missingItemsLimit="0" createdVersion="8" refreshedVersion="8" minRefreshableVersion="3" recordCount="149" xr:uid="{01F685F9-DAE0-4904-A9E3-85F6DC644A6E}">
  <cacheSource type="worksheet">
    <worksheetSource name="Export"/>
  </cacheSource>
  <cacheFields count="7">
    <cacheField name="Source.Name" numFmtId="0">
      <sharedItems count="1">
        <s v="03.18.24.xlsx"/>
      </sharedItems>
    </cacheField>
    <cacheField name="DO or Franchise Name  " numFmtId="0">
      <sharedItems containsBlank="1" count="2">
        <s v="CASCADE DINING LLC"/>
        <m/>
      </sharedItems>
    </cacheField>
    <cacheField name="store" numFmtId="0">
      <sharedItems containsSemiMixedTypes="0" containsString="0" containsNumber="1" containsInteger="1" minValue="2208" maxValue="5296" count="10">
        <n v="2208"/>
        <n v="2325"/>
        <n v="2478"/>
        <n v="2612"/>
        <n v="2687"/>
        <n v="2921"/>
        <n v="3015"/>
        <n v="4405"/>
        <n v="5293"/>
        <n v="5296"/>
      </sharedItems>
    </cacheField>
    <cacheField name="offer" numFmtId="0">
      <sharedItems count="15">
        <s v="Garlic Epic Stuffed Crust: A pizza inspired by you"/>
        <s v="Calzone Papa Bites"/>
        <s v="Papa Pairings"/>
        <s v="Large 1 Topping Pizza for $9.99  Carryout Only!"/>
        <s v="Large 1-Topping Pizza"/>
        <s v="Epic Stuffed Crust 1-Topping Pizza"/>
        <s v="Any 10&quot; Only $10"/>
        <s v="Carryout ONLY! Large Specialty Pizza"/>
        <s v="Any Large Pizza - Up to 5 Toppings or Specialty"/>
        <s v="Two Pizza Deal"/>
        <s v="NY-Style 1-Topping Pizza"/>
        <s v="Family Special"/>
        <s v="Cheesy Calzone Epic Stuffed Crust Pizza"/>
        <s v="25% Off Regular Menu Price"/>
        <s v="30% OFF - TOYS FOR KIDS"/>
      </sharedItems>
    </cacheField>
    <cacheField name="description" numFmtId="0">
      <sharedItems/>
    </cacheField>
    <cacheField name="price" numFmtId="0">
      <sharedItems containsSemiMixedTypes="0" containsString="0" containsNumber="1" minValue="0" maxValue="29.99"/>
    </cacheField>
    <cacheField name="price sort" numFmtId="0">
      <sharedItems containsSemiMixedTypes="0" containsString="0" containsNumber="1" minValue="0" maxValue="29.99" count="12">
        <n v="13.99"/>
        <n v="4.99"/>
        <n v="6.99"/>
        <n v="9.99"/>
        <n v="12.99"/>
        <n v="15.99"/>
        <n v="10"/>
        <n v="18.989999999999998"/>
        <n v="25.99"/>
        <n v="29.99"/>
        <n v="14.99"/>
        <n v="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9">
  <r>
    <x v="0"/>
    <x v="0"/>
    <x v="0"/>
    <x v="0"/>
    <s v="Garlic sauce fans, you inspired us! We transformed your love for our garlic sauce into our pizza. Enjoy a 1-topping Garlic Epic Stuffed Crust pizza with garlicky goodness inside the cheesy crust, drizzled onto it, and served on the side."/>
    <n v="13.99"/>
    <x v="0"/>
  </r>
  <r>
    <x v="0"/>
    <x v="0"/>
    <x v="0"/>
    <x v="1"/>
    <s v=" Indulge in our Calzone Papa Bites. Packed with a blend of mozzarella and garlic herb ricotta, pepperoni, Italian sausage, and green peppers inside our fresh original dough. Served with original pizza sauce on the side for even more calzone flavor. "/>
    <n v="4.99"/>
    <x v="1"/>
  </r>
  <r>
    <x v="0"/>
    <x v="0"/>
    <x v="0"/>
    <x v="2"/>
    <s v=" Craving what you see? Our newest addition to your Papa Pairings possibilities: Wings! Get any of these and more delectable Papa Johns favorites for just $6.99 each when you pair two or more. "/>
    <n v="6.99"/>
    <x v="2"/>
  </r>
  <r>
    <x v="0"/>
    <x v="0"/>
    <x v="0"/>
    <x v="3"/>
    <s v=" Large 1 Topping Pizza for $9.99  Carryout Only! "/>
    <n v="9.99"/>
    <x v="3"/>
  </r>
  <r>
    <x v="0"/>
    <x v="0"/>
    <x v="0"/>
    <x v="4"/>
    <s v=" Large 1 Topping Pizza for only 12.99, Delivery Only. "/>
    <n v="12.99"/>
    <x v="4"/>
  </r>
  <r>
    <x v="0"/>
    <x v="0"/>
    <x v="0"/>
    <x v="5"/>
    <s v=" Epic Stuff Crust 1-Topping Pizza for ONLY $15.99 "/>
    <n v="15.99"/>
    <x v="5"/>
  </r>
  <r>
    <x v="0"/>
    <x v="0"/>
    <x v="0"/>
    <x v="6"/>
    <s v=" Any 10&quot; original crust specialty or up to 5-topping pizza ONLY $10 "/>
    <n v="10"/>
    <x v="6"/>
  </r>
  <r>
    <x v="0"/>
    <x v="0"/>
    <x v="0"/>
    <x v="7"/>
    <s v=" Large Specialty Pizza $15.99. Carryout ONLY "/>
    <n v="15.99"/>
    <x v="5"/>
  </r>
  <r>
    <x v="0"/>
    <x v="0"/>
    <x v="0"/>
    <x v="8"/>
    <s v=" Enjoy your favorite specialty or any 5-topping pizza on our large original or thin crust pizza "/>
    <n v="18.989999999999998"/>
    <x v="7"/>
  </r>
  <r>
    <x v="0"/>
    <x v="0"/>
    <x v="0"/>
    <x v="9"/>
    <s v=" Two Large Two Topping Pizzas "/>
    <n v="25.99"/>
    <x v="8"/>
  </r>
  <r>
    <x v="0"/>
    <x v="0"/>
    <x v="0"/>
    <x v="10"/>
    <s v=" New York Style 1-Topping Pizza "/>
    <n v="15.99"/>
    <x v="5"/>
  </r>
  <r>
    <x v="0"/>
    <x v="0"/>
    <x v="0"/>
    <x v="11"/>
    <s v=" Any large specialty or 5-topping pizza and a large 2-topping pizza "/>
    <n v="29.99"/>
    <x v="9"/>
  </r>
  <r>
    <x v="0"/>
    <x v="0"/>
    <x v="0"/>
    <x v="12"/>
    <s v=" We know how to hand stuff our crust with the best flavor combos. Experience calzone flavors like never before, this pizza is made with a blend of mozzarella and garlic herb ricotta stuffed into the crust. Comes with your choice of 1 topping. "/>
    <n v="14.99"/>
    <x v="10"/>
  </r>
  <r>
    <x v="0"/>
    <x v="0"/>
    <x v="0"/>
    <x v="13"/>
    <s v=" 25% Off Your Entire Menu Price Order! "/>
    <n v="0"/>
    <x v="11"/>
  </r>
  <r>
    <x v="0"/>
    <x v="0"/>
    <x v="0"/>
    <x v="14"/>
    <s v=" Enjoy 30% off regular menu price items when you apply this promo! Papa Johns will donate 10% of the discounted purchase price to Toys for Kids. "/>
    <n v="0"/>
    <x v="11"/>
  </r>
  <r>
    <x v="0"/>
    <x v="0"/>
    <x v="1"/>
    <x v="0"/>
    <s v="Garlic sauce fans, you inspired us! We transformed your love for our garlic sauce into our pizza. Enjoy a 1-topping Garlic Epic Stuffed Crust pizza with garlicky goodness inside the cheesy crust, drizzled onto it, and served on the side."/>
    <n v="13.99"/>
    <x v="0"/>
  </r>
  <r>
    <x v="0"/>
    <x v="0"/>
    <x v="1"/>
    <x v="1"/>
    <s v=" Indulge in our Calzone Papa Bites. Packed with a blend of mozzarella and garlic herb ricotta, pepperoni, Italian sausage, and green peppers inside our fresh original dough. Served with original pizza sauce on the side for even more calzone flavor. "/>
    <n v="4.99"/>
    <x v="1"/>
  </r>
  <r>
    <x v="0"/>
    <x v="0"/>
    <x v="1"/>
    <x v="2"/>
    <s v=" Craving what you see? Our newest addition to your Papa Pairings possibilities: Wings! Get any of these and more delectable Papa Johns favorites for just $6.99 each when you pair two or more. "/>
    <n v="6.99"/>
    <x v="2"/>
  </r>
  <r>
    <x v="0"/>
    <x v="0"/>
    <x v="1"/>
    <x v="3"/>
    <s v=" Large 1 Topping Pizza for $9.99  Carryout Only! "/>
    <n v="9.99"/>
    <x v="3"/>
  </r>
  <r>
    <x v="0"/>
    <x v="0"/>
    <x v="1"/>
    <x v="4"/>
    <s v=" Large 1 Topping Pizza for only 12.99, Delivery Only. "/>
    <n v="12.99"/>
    <x v="4"/>
  </r>
  <r>
    <x v="0"/>
    <x v="0"/>
    <x v="1"/>
    <x v="5"/>
    <s v=" Epic Stuff Crust 1-Topping Pizza for ONLY $15.99 "/>
    <n v="15.99"/>
    <x v="5"/>
  </r>
  <r>
    <x v="0"/>
    <x v="0"/>
    <x v="1"/>
    <x v="6"/>
    <s v=" Any 10&quot; original crust specialty or up to 5-topping pizza ONLY $10 "/>
    <n v="10"/>
    <x v="6"/>
  </r>
  <r>
    <x v="0"/>
    <x v="0"/>
    <x v="1"/>
    <x v="7"/>
    <s v=" Large Specialty Pizza $15.99. Carryout ONLY "/>
    <n v="15.99"/>
    <x v="5"/>
  </r>
  <r>
    <x v="0"/>
    <x v="0"/>
    <x v="1"/>
    <x v="8"/>
    <s v=" Enjoy your favorite specialty or any 5-topping pizza on our large original or thin crust pizza "/>
    <n v="18.989999999999998"/>
    <x v="7"/>
  </r>
  <r>
    <x v="0"/>
    <x v="0"/>
    <x v="1"/>
    <x v="9"/>
    <s v=" Two Large Two Topping Pizzas "/>
    <n v="25.99"/>
    <x v="8"/>
  </r>
  <r>
    <x v="0"/>
    <x v="0"/>
    <x v="1"/>
    <x v="10"/>
    <s v=" New York Style 1-Topping Pizza "/>
    <n v="15.99"/>
    <x v="5"/>
  </r>
  <r>
    <x v="0"/>
    <x v="0"/>
    <x v="1"/>
    <x v="11"/>
    <s v=" Any large specialty or 5-topping pizza and a large 2-topping pizza "/>
    <n v="29.99"/>
    <x v="9"/>
  </r>
  <r>
    <x v="0"/>
    <x v="0"/>
    <x v="1"/>
    <x v="12"/>
    <s v=" We know how to hand stuff our crust with the best flavor combos. Experience calzone flavors like never before, this pizza is made with a blend of mozzarella and garlic herb ricotta stuffed into the crust. Comes with your choice of 1 topping. "/>
    <n v="14.99"/>
    <x v="10"/>
  </r>
  <r>
    <x v="0"/>
    <x v="0"/>
    <x v="1"/>
    <x v="13"/>
    <s v=" 25% Off Your Entire Menu Price Order! "/>
    <n v="0"/>
    <x v="11"/>
  </r>
  <r>
    <x v="0"/>
    <x v="0"/>
    <x v="1"/>
    <x v="14"/>
    <s v=" Enjoy 30% off regular menu price items when you apply this promo! Papa Johns will donate 10% of the discounted purchase price to Toys for Kids. "/>
    <n v="0"/>
    <x v="11"/>
  </r>
  <r>
    <x v="0"/>
    <x v="0"/>
    <x v="2"/>
    <x v="0"/>
    <s v="Garlic sauce fans, you inspired us! We transformed your love for our garlic sauce into our pizza. Enjoy a 1-topping Garlic Epic Stuffed Crust pizza with garlicky goodness inside the cheesy crust, drizzled onto it, and served on the side."/>
    <n v="13.99"/>
    <x v="0"/>
  </r>
  <r>
    <x v="0"/>
    <x v="0"/>
    <x v="2"/>
    <x v="1"/>
    <s v=" Indulge in our Calzone Papa Bites. Packed with a blend of mozzarella and garlic herb ricotta, pepperoni, Italian sausage, and green peppers inside our fresh original dough. Served with original pizza sauce on the side for even more calzone flavor. "/>
    <n v="4.99"/>
    <x v="1"/>
  </r>
  <r>
    <x v="0"/>
    <x v="0"/>
    <x v="2"/>
    <x v="2"/>
    <s v=" Craving what you see? Our newest addition to your Papa Pairings possibilities: Wings! Get any of these and more delectable Papa Johns favorites for just $6.99 each when you pair two or more. "/>
    <n v="6.99"/>
    <x v="2"/>
  </r>
  <r>
    <x v="0"/>
    <x v="0"/>
    <x v="2"/>
    <x v="3"/>
    <s v=" Large 1 Topping Pizza for $9.99  Carryout Only! "/>
    <n v="9.99"/>
    <x v="3"/>
  </r>
  <r>
    <x v="0"/>
    <x v="0"/>
    <x v="2"/>
    <x v="4"/>
    <s v=" Large 1 Topping Pizza for only 12.99, Delivery Only. "/>
    <n v="12.99"/>
    <x v="4"/>
  </r>
  <r>
    <x v="0"/>
    <x v="0"/>
    <x v="2"/>
    <x v="5"/>
    <s v=" Epic Stuff Crust 1-Topping Pizza for ONLY $15.99 "/>
    <n v="15.99"/>
    <x v="5"/>
  </r>
  <r>
    <x v="0"/>
    <x v="0"/>
    <x v="2"/>
    <x v="6"/>
    <s v=" Any 10&quot; original crust specialty or up to 5-topping pizza ONLY $10 "/>
    <n v="10"/>
    <x v="6"/>
  </r>
  <r>
    <x v="0"/>
    <x v="0"/>
    <x v="2"/>
    <x v="7"/>
    <s v=" Large Specialty Pizza $15.99. Carryout ONLY "/>
    <n v="15.99"/>
    <x v="5"/>
  </r>
  <r>
    <x v="0"/>
    <x v="0"/>
    <x v="2"/>
    <x v="8"/>
    <s v=" Enjoy your favorite specialty or any 5-topping pizza on our large original or thin crust pizza "/>
    <n v="18.989999999999998"/>
    <x v="7"/>
  </r>
  <r>
    <x v="0"/>
    <x v="0"/>
    <x v="2"/>
    <x v="9"/>
    <s v=" Two Large Two Topping Pizzas "/>
    <n v="25.99"/>
    <x v="8"/>
  </r>
  <r>
    <x v="0"/>
    <x v="0"/>
    <x v="2"/>
    <x v="10"/>
    <s v=" New York Style 1-Topping Pizza "/>
    <n v="15.99"/>
    <x v="5"/>
  </r>
  <r>
    <x v="0"/>
    <x v="0"/>
    <x v="2"/>
    <x v="11"/>
    <s v=" Any large specialty or 5-topping pizza and a large 2-topping pizza "/>
    <n v="29.99"/>
    <x v="9"/>
  </r>
  <r>
    <x v="0"/>
    <x v="0"/>
    <x v="2"/>
    <x v="12"/>
    <s v=" We know how to hand stuff our crust with the best flavor combos. Experience calzone flavors like never before, this pizza is made with a blend of mozzarella and garlic herb ricotta stuffed into the crust. Comes with your choice of 1 topping. "/>
    <n v="14.99"/>
    <x v="10"/>
  </r>
  <r>
    <x v="0"/>
    <x v="0"/>
    <x v="2"/>
    <x v="13"/>
    <s v=" 25% Off Your Entire Menu Price Order! "/>
    <n v="0"/>
    <x v="11"/>
  </r>
  <r>
    <x v="0"/>
    <x v="0"/>
    <x v="2"/>
    <x v="14"/>
    <s v=" Enjoy 30% off regular menu price items when you apply this promo! Papa Johns will donate 10% of the discounted purchase price to Toys for Kids. "/>
    <n v="0"/>
    <x v="11"/>
  </r>
  <r>
    <x v="0"/>
    <x v="0"/>
    <x v="3"/>
    <x v="0"/>
    <s v="Garlic sauce fans, you inspired us! We transformed your love for our garlic sauce into our pizza. Enjoy a 1-topping Garlic Epic Stuffed Crust pizza with garlicky goodness inside the cheesy crust, drizzled onto it, and served on the side."/>
    <n v="13.99"/>
    <x v="0"/>
  </r>
  <r>
    <x v="0"/>
    <x v="0"/>
    <x v="3"/>
    <x v="1"/>
    <s v=" Indulge in our Calzone Papa Bites. Packed with a blend of mozzarella and garlic herb ricotta, pepperoni, Italian sausage, and green peppers inside our fresh original dough. Served with original pizza sauce on the side for even more calzone flavor. "/>
    <n v="4.99"/>
    <x v="1"/>
  </r>
  <r>
    <x v="0"/>
    <x v="0"/>
    <x v="3"/>
    <x v="2"/>
    <s v=" Craving what you see? Our newest addition to your Papa Pairings possibilities: Wings! Get any of these and more delectable Papa Johns favorites for just $6.99 each when you pair two or more. "/>
    <n v="6.99"/>
    <x v="2"/>
  </r>
  <r>
    <x v="0"/>
    <x v="0"/>
    <x v="3"/>
    <x v="3"/>
    <s v=" Large 1 Topping Pizza for $9.99  Carryout Only! "/>
    <n v="9.99"/>
    <x v="3"/>
  </r>
  <r>
    <x v="0"/>
    <x v="0"/>
    <x v="3"/>
    <x v="4"/>
    <s v=" Large 1 Topping Pizza for only 12.99, Delivery Only. "/>
    <n v="12.99"/>
    <x v="4"/>
  </r>
  <r>
    <x v="0"/>
    <x v="0"/>
    <x v="3"/>
    <x v="5"/>
    <s v=" Epic Stuff Crust 1-Topping Pizza for ONLY $15.99 "/>
    <n v="15.99"/>
    <x v="5"/>
  </r>
  <r>
    <x v="0"/>
    <x v="0"/>
    <x v="3"/>
    <x v="6"/>
    <s v=" Any 10&quot; original crust specialty or up to 5-topping pizza ONLY $10 "/>
    <n v="10"/>
    <x v="6"/>
  </r>
  <r>
    <x v="0"/>
    <x v="0"/>
    <x v="3"/>
    <x v="7"/>
    <s v=" Large Specialty Pizza $15.99. Carryout ONLY "/>
    <n v="15.99"/>
    <x v="5"/>
  </r>
  <r>
    <x v="0"/>
    <x v="0"/>
    <x v="3"/>
    <x v="8"/>
    <s v=" Enjoy your favorite specialty or any 5-topping pizza on our large original or thin crust pizza "/>
    <n v="18.989999999999998"/>
    <x v="7"/>
  </r>
  <r>
    <x v="0"/>
    <x v="0"/>
    <x v="3"/>
    <x v="9"/>
    <s v=" Two Large Two Topping Pizzas "/>
    <n v="25.99"/>
    <x v="8"/>
  </r>
  <r>
    <x v="0"/>
    <x v="0"/>
    <x v="3"/>
    <x v="10"/>
    <s v=" New York Style 1-Topping Pizza "/>
    <n v="15.99"/>
    <x v="5"/>
  </r>
  <r>
    <x v="0"/>
    <x v="0"/>
    <x v="3"/>
    <x v="11"/>
    <s v=" Any large specialty or 5-topping pizza and a large 2-topping pizza "/>
    <n v="29.99"/>
    <x v="9"/>
  </r>
  <r>
    <x v="0"/>
    <x v="0"/>
    <x v="3"/>
    <x v="12"/>
    <s v=" We know how to hand stuff our crust with the best flavor combos. Experience calzone flavors like never before, this pizza is made with a blend of mozzarella and garlic herb ricotta stuffed into the crust. Comes with your choice of 1 topping. "/>
    <n v="14.99"/>
    <x v="10"/>
  </r>
  <r>
    <x v="0"/>
    <x v="0"/>
    <x v="3"/>
    <x v="13"/>
    <s v=" 25% Off Your Entire Menu Price Order! "/>
    <n v="0"/>
    <x v="11"/>
  </r>
  <r>
    <x v="0"/>
    <x v="0"/>
    <x v="3"/>
    <x v="14"/>
    <s v=" Enjoy 30% off regular menu price items when you apply this promo! Papa Johns will donate 10% of the discounted purchase price to Toys for Kids. "/>
    <n v="0"/>
    <x v="11"/>
  </r>
  <r>
    <x v="0"/>
    <x v="0"/>
    <x v="4"/>
    <x v="0"/>
    <s v="Garlic sauce fans, you inspired us! We transformed your love for our garlic sauce into our pizza. Enjoy a 1-topping Garlic Epic Stuffed Crust pizza with garlicky goodness inside the cheesy crust, drizzled onto it, and served on the side."/>
    <n v="13.99"/>
    <x v="0"/>
  </r>
  <r>
    <x v="0"/>
    <x v="0"/>
    <x v="4"/>
    <x v="1"/>
    <s v=" Indulge in our Calzone Papa Bites. Packed with a blend of mozzarella and garlic herb ricotta, pepperoni, Italian sausage, and green peppers inside our fresh original dough. Served with original pizza sauce on the side for even more calzone flavor. "/>
    <n v="4.99"/>
    <x v="1"/>
  </r>
  <r>
    <x v="0"/>
    <x v="0"/>
    <x v="4"/>
    <x v="2"/>
    <s v=" Craving what you see? Our newest addition to your Papa Pairings possibilities: Wings! Get any of these and more delectable Papa Johns favorites for just $6.99 each when you pair two or more. "/>
    <n v="6.99"/>
    <x v="2"/>
  </r>
  <r>
    <x v="0"/>
    <x v="0"/>
    <x v="4"/>
    <x v="3"/>
    <s v=" Large 1 Topping Pizza for $9.99  Carryout Only! "/>
    <n v="9.99"/>
    <x v="3"/>
  </r>
  <r>
    <x v="0"/>
    <x v="0"/>
    <x v="4"/>
    <x v="4"/>
    <s v=" Large 1 Topping Pizza for only 12.99, Delivery Only. "/>
    <n v="12.99"/>
    <x v="4"/>
  </r>
  <r>
    <x v="0"/>
    <x v="0"/>
    <x v="4"/>
    <x v="5"/>
    <s v=" Epic Stuff Crust 1-Topping Pizza for ONLY $15.99 "/>
    <n v="15.99"/>
    <x v="5"/>
  </r>
  <r>
    <x v="0"/>
    <x v="0"/>
    <x v="4"/>
    <x v="6"/>
    <s v=" Any 10&quot; original crust specialty or up to 5-topping pizza ONLY $10 "/>
    <n v="10"/>
    <x v="6"/>
  </r>
  <r>
    <x v="0"/>
    <x v="0"/>
    <x v="4"/>
    <x v="7"/>
    <s v=" Large Specialty Pizza $15.99. Carryout ONLY "/>
    <n v="15.99"/>
    <x v="5"/>
  </r>
  <r>
    <x v="0"/>
    <x v="0"/>
    <x v="4"/>
    <x v="8"/>
    <s v=" Enjoy your favorite specialty or any 5-topping pizza on our large original or thin crust pizza "/>
    <n v="18.989999999999998"/>
    <x v="7"/>
  </r>
  <r>
    <x v="0"/>
    <x v="0"/>
    <x v="4"/>
    <x v="9"/>
    <s v=" Two Large Two Topping Pizzas "/>
    <n v="25.99"/>
    <x v="8"/>
  </r>
  <r>
    <x v="0"/>
    <x v="0"/>
    <x v="4"/>
    <x v="10"/>
    <s v=" New York Style 1-Topping Pizza "/>
    <n v="15.99"/>
    <x v="5"/>
  </r>
  <r>
    <x v="0"/>
    <x v="0"/>
    <x v="4"/>
    <x v="11"/>
    <s v=" Any large specialty or 5-topping pizza and a large 2-topping pizza "/>
    <n v="29.99"/>
    <x v="9"/>
  </r>
  <r>
    <x v="0"/>
    <x v="0"/>
    <x v="4"/>
    <x v="12"/>
    <s v=" We know how to hand stuff our crust with the best flavor combos. Experience calzone flavors like never before, this pizza is made with a blend of mozzarella and garlic herb ricotta stuffed into the crust. Comes with your choice of 1 topping. "/>
    <n v="14.99"/>
    <x v="10"/>
  </r>
  <r>
    <x v="0"/>
    <x v="0"/>
    <x v="4"/>
    <x v="13"/>
    <s v=" 25% Off Your Entire Menu Price Order! "/>
    <n v="0"/>
    <x v="11"/>
  </r>
  <r>
    <x v="0"/>
    <x v="0"/>
    <x v="4"/>
    <x v="14"/>
    <s v=" Enjoy 30% off regular menu price items when you apply this promo! Papa Johns will donate 10% of the discounted purchase price to Toys for Kids. "/>
    <n v="0"/>
    <x v="11"/>
  </r>
  <r>
    <x v="0"/>
    <x v="0"/>
    <x v="5"/>
    <x v="0"/>
    <s v="Garlic sauce fans, you inspired us! We transformed your love for our garlic sauce into our pizza. Enjoy a 1-topping Garlic Epic Stuffed Crust pizza with garlicky goodness inside the cheesy crust, drizzled onto it, and served on the side."/>
    <n v="13.99"/>
    <x v="0"/>
  </r>
  <r>
    <x v="0"/>
    <x v="0"/>
    <x v="5"/>
    <x v="1"/>
    <s v=" Indulge in our Calzone Papa Bites. Packed with a blend of mozzarella and garlic herb ricotta, pepperoni, Italian sausage, and green peppers inside our fresh original dough. Served with original pizza sauce on the side for even more calzone flavor. "/>
    <n v="4.99"/>
    <x v="1"/>
  </r>
  <r>
    <x v="0"/>
    <x v="0"/>
    <x v="5"/>
    <x v="2"/>
    <s v=" Craving what you see? Our newest addition to your Papa Pairings possibilities: Wings! Get any of these and more delectable Papa Johns favorites for just $6.99 each when you pair two or more. "/>
    <n v="6.99"/>
    <x v="2"/>
  </r>
  <r>
    <x v="0"/>
    <x v="0"/>
    <x v="5"/>
    <x v="3"/>
    <s v=" Large 1 Topping Pizza for $9.99  Carryout Only! "/>
    <n v="9.99"/>
    <x v="3"/>
  </r>
  <r>
    <x v="0"/>
    <x v="0"/>
    <x v="5"/>
    <x v="4"/>
    <s v=" Large 1 Topping Pizza for only 12.99, Delivery Only. "/>
    <n v="12.99"/>
    <x v="4"/>
  </r>
  <r>
    <x v="0"/>
    <x v="0"/>
    <x v="5"/>
    <x v="5"/>
    <s v=" Epic Stuff Crust 1-Topping Pizza for ONLY $15.99 "/>
    <n v="15.99"/>
    <x v="5"/>
  </r>
  <r>
    <x v="0"/>
    <x v="0"/>
    <x v="5"/>
    <x v="6"/>
    <s v=" Any 10&quot; original crust specialty or up to 5-topping pizza ONLY $10 "/>
    <n v="10"/>
    <x v="6"/>
  </r>
  <r>
    <x v="0"/>
    <x v="0"/>
    <x v="5"/>
    <x v="7"/>
    <s v=" Large Specialty Pizza $15.99. Carryout ONLY "/>
    <n v="15.99"/>
    <x v="5"/>
  </r>
  <r>
    <x v="0"/>
    <x v="0"/>
    <x v="5"/>
    <x v="8"/>
    <s v=" Enjoy your favorite specialty or any 5-topping pizza on our large original or thin crust pizza "/>
    <n v="18.989999999999998"/>
    <x v="7"/>
  </r>
  <r>
    <x v="0"/>
    <x v="0"/>
    <x v="5"/>
    <x v="9"/>
    <s v=" Two Large Two Topping Pizzas "/>
    <n v="25.99"/>
    <x v="8"/>
  </r>
  <r>
    <x v="0"/>
    <x v="0"/>
    <x v="5"/>
    <x v="10"/>
    <s v=" New York Style 1-Topping Pizza "/>
    <n v="15.99"/>
    <x v="5"/>
  </r>
  <r>
    <x v="0"/>
    <x v="0"/>
    <x v="5"/>
    <x v="11"/>
    <s v=" Any large specialty or 5-topping pizza and a large 2-topping pizza "/>
    <n v="29.99"/>
    <x v="9"/>
  </r>
  <r>
    <x v="0"/>
    <x v="0"/>
    <x v="5"/>
    <x v="12"/>
    <s v=" We know how to hand stuff our crust with the best flavor combos. Experience calzone flavors like never before, this pizza is made with a blend of mozzarella and garlic herb ricotta stuffed into the crust. Comes with your choice of 1 topping. "/>
    <n v="14.99"/>
    <x v="10"/>
  </r>
  <r>
    <x v="0"/>
    <x v="0"/>
    <x v="5"/>
    <x v="13"/>
    <s v=" 25% Off Your Entire Menu Price Order! "/>
    <n v="0"/>
    <x v="11"/>
  </r>
  <r>
    <x v="0"/>
    <x v="0"/>
    <x v="5"/>
    <x v="14"/>
    <s v=" Enjoy 30% off regular menu price items when you apply this promo! Papa Johns will donate 10% of the discounted purchase price to Toys for Kids. "/>
    <n v="0"/>
    <x v="11"/>
  </r>
  <r>
    <x v="0"/>
    <x v="0"/>
    <x v="6"/>
    <x v="0"/>
    <s v="Garlic sauce fans, you inspired us! We transformed your love for our garlic sauce into our pizza. Enjoy a 1-topping Garlic Epic Stuffed Crust pizza with garlicky goodness inside the cheesy crust, drizzled onto it, and served on the side."/>
    <n v="13.99"/>
    <x v="0"/>
  </r>
  <r>
    <x v="0"/>
    <x v="0"/>
    <x v="6"/>
    <x v="1"/>
    <s v=" Indulge in our Calzone Papa Bites. Packed with a blend of mozzarella and garlic herb ricotta, pepperoni, Italian sausage, and green peppers inside our fresh original dough. Served with original pizza sauce on the side for even more calzone flavor. "/>
    <n v="4.99"/>
    <x v="1"/>
  </r>
  <r>
    <x v="0"/>
    <x v="0"/>
    <x v="6"/>
    <x v="2"/>
    <s v=" Craving what you see? Our newest addition to your Papa Pairings possibilities: Wings! Get any of these and more delectable Papa Johns favorites for just $6.99 each when you pair two or more. "/>
    <n v="6.99"/>
    <x v="2"/>
  </r>
  <r>
    <x v="0"/>
    <x v="0"/>
    <x v="6"/>
    <x v="3"/>
    <s v=" Large 1 Topping Pizza for $9.99  Carryout Only! "/>
    <n v="9.99"/>
    <x v="3"/>
  </r>
  <r>
    <x v="0"/>
    <x v="0"/>
    <x v="6"/>
    <x v="4"/>
    <s v=" Large 1 Topping Pizza for only 12.99, Delivery Only. "/>
    <n v="12.99"/>
    <x v="4"/>
  </r>
  <r>
    <x v="0"/>
    <x v="0"/>
    <x v="6"/>
    <x v="5"/>
    <s v=" Epic Stuff Crust 1-Topping Pizza for ONLY $15.99 "/>
    <n v="15.99"/>
    <x v="5"/>
  </r>
  <r>
    <x v="0"/>
    <x v="0"/>
    <x v="6"/>
    <x v="6"/>
    <s v=" Any 10&quot; original crust specialty or up to 5-topping pizza ONLY $10 "/>
    <n v="10"/>
    <x v="6"/>
  </r>
  <r>
    <x v="0"/>
    <x v="0"/>
    <x v="6"/>
    <x v="7"/>
    <s v=" Large Specialty Pizza $15.99. Carryout ONLY "/>
    <n v="15.99"/>
    <x v="5"/>
  </r>
  <r>
    <x v="0"/>
    <x v="0"/>
    <x v="6"/>
    <x v="8"/>
    <s v=" Enjoy your favorite specialty or any 5-topping pizza on our large original or thin crust pizza "/>
    <n v="18.989999999999998"/>
    <x v="7"/>
  </r>
  <r>
    <x v="0"/>
    <x v="0"/>
    <x v="6"/>
    <x v="9"/>
    <s v=" Two Large Two Topping Pizzas "/>
    <n v="25.99"/>
    <x v="8"/>
  </r>
  <r>
    <x v="0"/>
    <x v="0"/>
    <x v="6"/>
    <x v="10"/>
    <s v=" New York Style 1-Topping Pizza "/>
    <n v="15.99"/>
    <x v="5"/>
  </r>
  <r>
    <x v="0"/>
    <x v="0"/>
    <x v="6"/>
    <x v="11"/>
    <s v=" Any large specialty or 5-topping pizza and a large 2-topping pizza "/>
    <n v="29.99"/>
    <x v="9"/>
  </r>
  <r>
    <x v="0"/>
    <x v="0"/>
    <x v="6"/>
    <x v="12"/>
    <s v=" We know how to hand stuff our crust with the best flavor combos. Experience calzone flavors like never before, this pizza is made with a blend of mozzarella and garlic herb ricotta stuffed into the crust. Comes with your choice of 1 topping. "/>
    <n v="14.99"/>
    <x v="10"/>
  </r>
  <r>
    <x v="0"/>
    <x v="0"/>
    <x v="6"/>
    <x v="13"/>
    <s v=" 25% Off Your Entire Menu Price Order! "/>
    <n v="0"/>
    <x v="11"/>
  </r>
  <r>
    <x v="0"/>
    <x v="0"/>
    <x v="6"/>
    <x v="14"/>
    <s v=" Enjoy 30% off regular menu price items when you apply this promo! Papa Johns will donate 10% of the discounted purchase price to Toys for Kids. "/>
    <n v="0"/>
    <x v="11"/>
  </r>
  <r>
    <x v="0"/>
    <x v="0"/>
    <x v="7"/>
    <x v="0"/>
    <s v="Garlic sauce fans, you inspired us! We transformed your love for our garlic sauce into our pizza. Enjoy a 1-topping Garlic Epic Stuffed Crust pizza with garlicky goodness inside the cheesy crust, drizzled onto it, and served on the side."/>
    <n v="13.99"/>
    <x v="0"/>
  </r>
  <r>
    <x v="0"/>
    <x v="0"/>
    <x v="7"/>
    <x v="1"/>
    <s v=" Indulge in our Calzone Papa Bites. Packed with a blend of mozzarella and garlic herb ricotta, pepperoni, Italian sausage, and green peppers inside our fresh original dough. Served with original pizza sauce on the side for even more calzone flavor. "/>
    <n v="4.99"/>
    <x v="1"/>
  </r>
  <r>
    <x v="0"/>
    <x v="0"/>
    <x v="7"/>
    <x v="2"/>
    <s v=" Craving what you see? Our newest addition to your Papa Pairings possibilities: Wings! Get any of these and more delectable Papa Johns favorites for just $6.99 each when you pair two or more. "/>
    <n v="6.99"/>
    <x v="2"/>
  </r>
  <r>
    <x v="0"/>
    <x v="0"/>
    <x v="7"/>
    <x v="3"/>
    <s v=" Large 1 Topping Pizza for $9.99  Carryout Only! "/>
    <n v="9.99"/>
    <x v="3"/>
  </r>
  <r>
    <x v="0"/>
    <x v="0"/>
    <x v="7"/>
    <x v="4"/>
    <s v=" Large 1 Topping Pizza for only 12.99, Delivery Only. "/>
    <n v="12.99"/>
    <x v="4"/>
  </r>
  <r>
    <x v="0"/>
    <x v="0"/>
    <x v="7"/>
    <x v="5"/>
    <s v=" Epic Stuff Crust 1-Topping Pizza for ONLY $15.99 "/>
    <n v="15.99"/>
    <x v="5"/>
  </r>
  <r>
    <x v="0"/>
    <x v="0"/>
    <x v="7"/>
    <x v="6"/>
    <s v=" Any 10&quot; original crust specialty or up to 5-topping pizza ONLY $10 "/>
    <n v="10"/>
    <x v="6"/>
  </r>
  <r>
    <x v="0"/>
    <x v="0"/>
    <x v="7"/>
    <x v="7"/>
    <s v=" Large Specialty Pizza $15.99. Carryout ONLY "/>
    <n v="15.99"/>
    <x v="5"/>
  </r>
  <r>
    <x v="0"/>
    <x v="0"/>
    <x v="7"/>
    <x v="8"/>
    <s v=" Enjoy your favorite specialty or any 5-topping pizza on our large original or thin crust pizza "/>
    <n v="18.989999999999998"/>
    <x v="7"/>
  </r>
  <r>
    <x v="0"/>
    <x v="0"/>
    <x v="7"/>
    <x v="9"/>
    <s v=" Two Large Two Topping Pizzas "/>
    <n v="25.99"/>
    <x v="8"/>
  </r>
  <r>
    <x v="0"/>
    <x v="0"/>
    <x v="7"/>
    <x v="10"/>
    <s v=" New York Style 1-Topping Pizza "/>
    <n v="15.99"/>
    <x v="5"/>
  </r>
  <r>
    <x v="0"/>
    <x v="0"/>
    <x v="7"/>
    <x v="11"/>
    <s v=" Any large specialty or 5-topping pizza and a large 2-topping pizza "/>
    <n v="29.99"/>
    <x v="9"/>
  </r>
  <r>
    <x v="0"/>
    <x v="0"/>
    <x v="7"/>
    <x v="12"/>
    <s v=" We know how to hand stuff our crust with the best flavor combos. Experience calzone flavors like never before, this pizza is made with a blend of mozzarella and garlic herb ricotta stuffed into the crust. Comes with your choice of 1 topping. "/>
    <n v="14.99"/>
    <x v="10"/>
  </r>
  <r>
    <x v="0"/>
    <x v="0"/>
    <x v="7"/>
    <x v="13"/>
    <s v=" 25% Off Your Entire Menu Price Order! "/>
    <n v="0"/>
    <x v="11"/>
  </r>
  <r>
    <x v="0"/>
    <x v="0"/>
    <x v="7"/>
    <x v="14"/>
    <s v=" Enjoy 30% off regular menu price items when you apply this promo! Papa Johns will donate 10% of the discounted purchase price to Toys for Kids. "/>
    <n v="0"/>
    <x v="11"/>
  </r>
  <r>
    <x v="0"/>
    <x v="0"/>
    <x v="8"/>
    <x v="0"/>
    <s v="Garlic sauce fans, you inspired us! We transformed your love for our garlic sauce into our pizza. Enjoy a 1-topping Garlic Epic Stuffed Crust pizza with garlicky goodness inside the cheesy crust, drizzled onto it, and served on the side."/>
    <n v="13.99"/>
    <x v="0"/>
  </r>
  <r>
    <x v="0"/>
    <x v="0"/>
    <x v="8"/>
    <x v="1"/>
    <s v=" Indulge in our Calzone Papa Bites. Packed with a blend of mozzarella and garlic herb ricotta, pepperoni, Italian sausage, and green peppers inside our fresh original dough. Served with original pizza sauce on the side for even more calzone flavor. "/>
    <n v="4.99"/>
    <x v="1"/>
  </r>
  <r>
    <x v="0"/>
    <x v="0"/>
    <x v="8"/>
    <x v="2"/>
    <s v=" Craving what you see? Our newest addition to your Papa Pairings possibilities: Wings! Get any of these and more delectable Papa Johns favorites for just $6.99 each when you pair two or more. "/>
    <n v="6.99"/>
    <x v="2"/>
  </r>
  <r>
    <x v="0"/>
    <x v="0"/>
    <x v="8"/>
    <x v="3"/>
    <s v=" Large 1 Topping Pizza for $9.99  Carryout Only! "/>
    <n v="9.99"/>
    <x v="3"/>
  </r>
  <r>
    <x v="0"/>
    <x v="0"/>
    <x v="8"/>
    <x v="4"/>
    <s v=" Large 1 Topping Pizza for only 12.99, Delivery Only. "/>
    <n v="12.99"/>
    <x v="4"/>
  </r>
  <r>
    <x v="0"/>
    <x v="0"/>
    <x v="8"/>
    <x v="5"/>
    <s v=" Epic Stuff Crust 1-Topping Pizza for ONLY $15.99 "/>
    <n v="15.99"/>
    <x v="5"/>
  </r>
  <r>
    <x v="0"/>
    <x v="0"/>
    <x v="8"/>
    <x v="6"/>
    <s v=" Any 10&quot; original crust specialty or up to 5-topping pizza ONLY $10 "/>
    <n v="10"/>
    <x v="6"/>
  </r>
  <r>
    <x v="0"/>
    <x v="0"/>
    <x v="8"/>
    <x v="7"/>
    <s v=" Large Specialty Pizza $15.99. Carryout ONLY "/>
    <n v="15.99"/>
    <x v="5"/>
  </r>
  <r>
    <x v="0"/>
    <x v="0"/>
    <x v="8"/>
    <x v="8"/>
    <s v=" Enjoy your favorite specialty or any 5-topping pizza on our large original or thin crust pizza "/>
    <n v="18.989999999999998"/>
    <x v="7"/>
  </r>
  <r>
    <x v="0"/>
    <x v="0"/>
    <x v="8"/>
    <x v="9"/>
    <s v=" Two Large Two Topping Pizzas "/>
    <n v="25.99"/>
    <x v="8"/>
  </r>
  <r>
    <x v="0"/>
    <x v="0"/>
    <x v="8"/>
    <x v="10"/>
    <s v=" New York Style 1-Topping Pizza "/>
    <n v="15.99"/>
    <x v="5"/>
  </r>
  <r>
    <x v="0"/>
    <x v="0"/>
    <x v="8"/>
    <x v="11"/>
    <s v=" Any large specialty or 5-topping pizza and a large 2-topping pizza "/>
    <n v="29.99"/>
    <x v="9"/>
  </r>
  <r>
    <x v="0"/>
    <x v="0"/>
    <x v="8"/>
    <x v="12"/>
    <s v=" We know how to hand stuff our crust with the best flavor combos. Experience calzone flavors like never before, this pizza is made with a blend of mozzarella and garlic herb ricotta stuffed into the crust. Comes with your choice of 1 topping. "/>
    <n v="14.99"/>
    <x v="10"/>
  </r>
  <r>
    <x v="0"/>
    <x v="0"/>
    <x v="8"/>
    <x v="13"/>
    <s v=" 25% Off Your Entire Menu Price Order! "/>
    <n v="0"/>
    <x v="11"/>
  </r>
  <r>
    <x v="0"/>
    <x v="0"/>
    <x v="8"/>
    <x v="14"/>
    <s v=" Enjoy 30% off regular menu price items when you apply this promo! Papa Johns will donate 10% of the discounted purchase price to Toys for Kids. "/>
    <n v="0"/>
    <x v="11"/>
  </r>
  <r>
    <x v="0"/>
    <x v="1"/>
    <x v="9"/>
    <x v="0"/>
    <s v="Garlic sauce fans, you inspired us! We transformed your love for our garlic sauce into our pizza. Enjoy a 1-topping Garlic Epic Stuffed Crust pizza with garlicky goodness inside the cheesy crust, drizzled onto it, and served on the side."/>
    <n v="13.99"/>
    <x v="0"/>
  </r>
  <r>
    <x v="0"/>
    <x v="1"/>
    <x v="9"/>
    <x v="1"/>
    <s v=" Indulge in our Calzone Papa Bites. Packed with a blend of mozzarella and garlic herb ricotta, pepperoni, Italian sausage, and green peppers inside our fresh original dough. Served with original pizza sauce on the side for even more calzone flavor. "/>
    <n v="4.99"/>
    <x v="1"/>
  </r>
  <r>
    <x v="0"/>
    <x v="1"/>
    <x v="9"/>
    <x v="2"/>
    <s v=" Craving what you see? Our newest addition to your Papa Pairings possibilities: Wings! Get any of these and more delectable Papa Johns favorites for just $6.99 each when you pair two or more. "/>
    <n v="6.99"/>
    <x v="2"/>
  </r>
  <r>
    <x v="0"/>
    <x v="1"/>
    <x v="9"/>
    <x v="3"/>
    <s v=" Large 1 Topping Pizza for $9.99  Carryout Only! "/>
    <n v="9.99"/>
    <x v="3"/>
  </r>
  <r>
    <x v="0"/>
    <x v="1"/>
    <x v="9"/>
    <x v="4"/>
    <s v=" Large 1 Topping Pizza for only 12.99, Delivery Only. "/>
    <n v="12.99"/>
    <x v="4"/>
  </r>
  <r>
    <x v="0"/>
    <x v="1"/>
    <x v="9"/>
    <x v="5"/>
    <s v=" Epic Stuff Crust 1-Topping Pizza for ONLY $15.99 "/>
    <n v="15.99"/>
    <x v="5"/>
  </r>
  <r>
    <x v="0"/>
    <x v="1"/>
    <x v="9"/>
    <x v="6"/>
    <s v=" Any 10&quot; original crust specialty or up to 5-topping pizza ONLY $10 "/>
    <n v="10"/>
    <x v="6"/>
  </r>
  <r>
    <x v="0"/>
    <x v="1"/>
    <x v="9"/>
    <x v="7"/>
    <s v=" Large Specialty Pizza $15.99. Carryout ONLY "/>
    <n v="15.99"/>
    <x v="5"/>
  </r>
  <r>
    <x v="0"/>
    <x v="1"/>
    <x v="9"/>
    <x v="8"/>
    <s v=" Enjoy your favorite specialty or any 5-topping pizza on our large original or thin crust pizza "/>
    <n v="18.989999999999998"/>
    <x v="7"/>
  </r>
  <r>
    <x v="0"/>
    <x v="1"/>
    <x v="9"/>
    <x v="9"/>
    <s v=" Two Large Two Topping Pizzas "/>
    <n v="25.99"/>
    <x v="8"/>
  </r>
  <r>
    <x v="0"/>
    <x v="1"/>
    <x v="9"/>
    <x v="11"/>
    <s v=" Any large specialty or 5-topping pizza and a large 2-topping pizza "/>
    <n v="29.99"/>
    <x v="9"/>
  </r>
  <r>
    <x v="0"/>
    <x v="1"/>
    <x v="9"/>
    <x v="12"/>
    <s v=" We know how to hand stuff our crust with the best flavor combos. Experience calzone flavors like never before, this pizza is made with a blend of mozzarella and garlic herb ricotta stuffed into the crust. Comes with your choice of 1 topping. "/>
    <n v="14.99"/>
    <x v="10"/>
  </r>
  <r>
    <x v="0"/>
    <x v="1"/>
    <x v="9"/>
    <x v="13"/>
    <s v=" 25% Off Your Entire Menu Price Order! "/>
    <n v="0"/>
    <x v="11"/>
  </r>
  <r>
    <x v="0"/>
    <x v="1"/>
    <x v="9"/>
    <x v="14"/>
    <s v=" Enjoy 30% off regular menu price items when you apply this promo! Papa Johns will donate 10% of the discounted purchase price to Toys for Kids. "/>
    <n v="0"/>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A57DE9C-2A6E-410E-B454-68A11C1BB1DC}" name="PivotTable1"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5:B15" firstHeaderRow="1" firstDataRow="2" firstDataCol="1" rowPageCount="3" colPageCount="1"/>
  <pivotFields count="7">
    <pivotField axis="axisPage" showAll="0">
      <items count="2">
        <item x="0"/>
        <item t="default"/>
      </items>
    </pivotField>
    <pivotField axis="axisPage" showAll="0">
      <items count="3">
        <item x="0"/>
        <item x="1"/>
        <item t="default"/>
      </items>
    </pivotField>
    <pivotField axis="axisRow" showAll="0" sortType="ascending">
      <items count="11">
        <item x="0"/>
        <item x="1"/>
        <item x="2"/>
        <item x="3"/>
        <item x="4"/>
        <item x="5"/>
        <item x="6"/>
        <item x="7"/>
        <item x="8"/>
        <item x="9"/>
        <item t="default"/>
      </items>
    </pivotField>
    <pivotField axis="axisCol" showAll="0" sortType="ascending">
      <items count="16">
        <item h="1" x="2"/>
        <item h="1" x="0"/>
        <item h="1" x="1"/>
        <item h="1" x="3"/>
        <item h="1" x="4"/>
        <item h="1" x="5"/>
        <item h="1" x="6"/>
        <item h="1" x="7"/>
        <item h="1" x="8"/>
        <item h="1" x="9"/>
        <item x="10"/>
        <item h="1" x="11"/>
        <item h="1" x="12"/>
        <item h="1" x="13"/>
        <item h="1" x="14"/>
        <item t="default"/>
      </items>
      <autoSortScope>
        <pivotArea dataOnly="0" outline="0" fieldPosition="0">
          <references count="1">
            <reference field="4294967294" count="1" selected="0">
              <x v="0"/>
            </reference>
          </references>
        </pivotArea>
      </autoSortScope>
    </pivotField>
    <pivotField showAll="0"/>
    <pivotField dataField="1" showAll="0"/>
    <pivotField axis="axisPage" multipleItemSelectionAllowed="1" showAll="0">
      <items count="13">
        <item x="1"/>
        <item x="2"/>
        <item x="3"/>
        <item x="0"/>
        <item x="4"/>
        <item x="5"/>
        <item x="6"/>
        <item x="7"/>
        <item x="8"/>
        <item x="9"/>
        <item x="10"/>
        <item x="11"/>
        <item t="default"/>
      </items>
    </pivotField>
  </pivotFields>
  <rowFields count="1">
    <field x="2"/>
  </rowFields>
  <rowItems count="9">
    <i>
      <x/>
    </i>
    <i>
      <x v="1"/>
    </i>
    <i>
      <x v="2"/>
    </i>
    <i>
      <x v="3"/>
    </i>
    <i>
      <x v="4"/>
    </i>
    <i>
      <x v="5"/>
    </i>
    <i>
      <x v="6"/>
    </i>
    <i>
      <x v="7"/>
    </i>
    <i>
      <x v="8"/>
    </i>
  </rowItems>
  <colFields count="1">
    <field x="3"/>
  </colFields>
  <colItems count="1">
    <i>
      <x v="10"/>
    </i>
  </colItems>
  <pageFields count="3">
    <pageField fld="0" hier="-1"/>
    <pageField fld="1" hier="-1"/>
    <pageField fld="6" hier="-1"/>
  </pageFields>
  <dataFields count="1">
    <dataField name="Sum of price" fld="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3B22674F-1C29-4B95-AD8A-305098160102}" autoFormatId="16" applyNumberFormats="0" applyBorderFormats="0" applyFontFormats="0" applyPatternFormats="0" applyAlignmentFormats="0" applyWidthHeightFormats="0">
  <queryTableRefresh nextId="8">
    <queryTableFields count="7">
      <queryTableField id="1" name="Source.Name" tableColumnId="1"/>
      <queryTableField id="2" name="DO or Franchise Name  " tableColumnId="2"/>
      <queryTableField id="3" name="store" tableColumnId="3"/>
      <queryTableField id="4" name="offer" tableColumnId="4"/>
      <queryTableField id="5" name="description" tableColumnId="5"/>
      <queryTableField id="6" name="price" tableColumnId="6"/>
      <queryTableField id="7" name="price sort" tableColumnId="7"/>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62B6EC6-E6B7-42F4-91B5-9E5EEF47B37F}" name="Export" displayName="Export" ref="A1:G150" tableType="queryTable" totalsRowShown="0">
  <autoFilter ref="A1:G150" xr:uid="{362B6EC6-E6B7-42F4-91B5-9E5EEF47B37F}"/>
  <tableColumns count="7">
    <tableColumn id="1" xr3:uid="{276F8AAD-2C59-4E6E-8B1C-BE668B204EA1}" uniqueName="1" name="Source.Name" queryTableFieldId="1" dataDxfId="3"/>
    <tableColumn id="2" xr3:uid="{6F5F0993-CACA-4317-AED2-6A31940E6DA5}" uniqueName="2" name="DO or Franchise Name  " queryTableFieldId="2" dataDxfId="2"/>
    <tableColumn id="3" xr3:uid="{DA153C44-7C61-44FA-96F7-F7FD3C653B2D}" uniqueName="3" name="store" queryTableFieldId="3"/>
    <tableColumn id="4" xr3:uid="{10B486F1-2147-4B0A-B95D-2BC68CC4074D}" uniqueName="4" name="offer" queryTableFieldId="4" dataDxfId="1"/>
    <tableColumn id="5" xr3:uid="{F9541BC5-B793-4505-8A14-0340E98CCF77}" uniqueName="5" name="description" queryTableFieldId="5" dataDxfId="0"/>
    <tableColumn id="6" xr3:uid="{71145E55-424A-415E-87D8-C5519652D8CF}" uniqueName="6" name="price" queryTableFieldId="6"/>
    <tableColumn id="7" xr3:uid="{0ED7A391-C257-4243-A9CC-B82AB7557CCC}" uniqueName="7" name="price sort" queryTableFieldId="7"/>
  </tableColumns>
  <tableStyleInfo name="TableStyleMedium7"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C72773-ECDB-439F-809C-EAC03E53128A}">
  <dimension ref="A1:F15"/>
  <sheetViews>
    <sheetView workbookViewId="0">
      <selection activeCell="F1" sqref="F1"/>
    </sheetView>
  </sheetViews>
  <sheetFormatPr defaultRowHeight="14.4" x14ac:dyDescent="0.3"/>
  <cols>
    <col min="1" max="1" width="20.33203125" bestFit="1" customWidth="1"/>
    <col min="2" max="2" width="22" bestFit="1" customWidth="1"/>
    <col min="3" max="3" width="53.33203125" bestFit="1" customWidth="1"/>
    <col min="4" max="4" width="16.77734375" bestFit="1" customWidth="1"/>
    <col min="5" max="5" width="25.88671875" bestFit="1" customWidth="1"/>
    <col min="6" max="6" width="51.109375" bestFit="1" customWidth="1"/>
    <col min="7" max="7" width="15.5546875" bestFit="1" customWidth="1"/>
    <col min="8" max="8" width="19.33203125" bestFit="1" customWidth="1"/>
    <col min="9" max="9" width="42" bestFit="1" customWidth="1"/>
    <col min="10" max="10" width="22" bestFit="1" customWidth="1"/>
    <col min="11" max="11" width="34.5546875" bestFit="1" customWidth="1"/>
    <col min="12" max="12" width="32.109375" bestFit="1" customWidth="1"/>
    <col min="13" max="13" width="30" bestFit="1" customWidth="1"/>
    <col min="14" max="14" width="40.6640625" bestFit="1" customWidth="1"/>
    <col min="15" max="15" width="13.33203125" bestFit="1" customWidth="1"/>
    <col min="16" max="16" width="12.77734375" bestFit="1" customWidth="1"/>
    <col min="17" max="17" width="22.88671875" bestFit="1" customWidth="1"/>
    <col min="18" max="18" width="24.21875" bestFit="1" customWidth="1"/>
    <col min="19" max="19" width="11.77734375" bestFit="1" customWidth="1"/>
    <col min="20" max="20" width="13.5546875" bestFit="1" customWidth="1"/>
    <col min="21" max="21" width="14.77734375" bestFit="1" customWidth="1"/>
    <col min="22" max="22" width="15.33203125" bestFit="1" customWidth="1"/>
    <col min="23" max="23" width="14.33203125" bestFit="1" customWidth="1"/>
    <col min="24" max="24" width="21.5546875" bestFit="1" customWidth="1"/>
    <col min="25" max="25" width="20.5546875" bestFit="1" customWidth="1"/>
    <col min="26" max="26" width="44.77734375" bestFit="1" customWidth="1"/>
    <col min="27" max="27" width="23.88671875" bestFit="1" customWidth="1"/>
    <col min="28" max="28" width="17.6640625" bestFit="1" customWidth="1"/>
    <col min="29" max="29" width="13.109375" bestFit="1" customWidth="1"/>
    <col min="30" max="30" width="17.21875" bestFit="1" customWidth="1"/>
    <col min="31" max="31" width="18.88671875" bestFit="1" customWidth="1"/>
    <col min="32" max="32" width="15.6640625" bestFit="1" customWidth="1"/>
    <col min="33" max="33" width="20.109375" bestFit="1" customWidth="1"/>
    <col min="34" max="34" width="19.109375" bestFit="1" customWidth="1"/>
    <col min="35" max="35" width="12.88671875" bestFit="1" customWidth="1"/>
    <col min="36" max="36" width="15.6640625" bestFit="1" customWidth="1"/>
    <col min="37" max="37" width="24" bestFit="1" customWidth="1"/>
    <col min="38" max="38" width="20.5546875" bestFit="1" customWidth="1"/>
    <col min="39" max="39" width="23.6640625" bestFit="1" customWidth="1"/>
    <col min="40" max="40" width="14.88671875" bestFit="1" customWidth="1"/>
    <col min="41" max="41" width="18.88671875" bestFit="1" customWidth="1"/>
    <col min="42" max="42" width="12.21875" bestFit="1" customWidth="1"/>
    <col min="43" max="43" width="17.88671875" bestFit="1" customWidth="1"/>
    <col min="44" max="44" width="18.33203125" bestFit="1" customWidth="1"/>
    <col min="45" max="45" width="15.109375" bestFit="1" customWidth="1"/>
    <col min="46" max="46" width="15.21875" bestFit="1" customWidth="1"/>
    <col min="47" max="47" width="10.44140625" bestFit="1" customWidth="1"/>
    <col min="48" max="48" width="14.33203125" bestFit="1" customWidth="1"/>
    <col min="49" max="49" width="25.77734375" bestFit="1" customWidth="1"/>
    <col min="50" max="50" width="22.5546875" bestFit="1" customWidth="1"/>
    <col min="51" max="51" width="16" bestFit="1" customWidth="1"/>
    <col min="52" max="52" width="19.77734375" bestFit="1" customWidth="1"/>
    <col min="53" max="53" width="12.77734375" bestFit="1" customWidth="1"/>
    <col min="54" max="54" width="17.88671875" bestFit="1" customWidth="1"/>
    <col min="55" max="55" width="9.33203125" bestFit="1" customWidth="1"/>
  </cols>
  <sheetData>
    <row r="1" spans="1:6" x14ac:dyDescent="0.3">
      <c r="A1" s="1" t="s">
        <v>0</v>
      </c>
      <c r="B1" t="s">
        <v>8</v>
      </c>
      <c r="C1" s="3" t="s">
        <v>13</v>
      </c>
      <c r="E1" s="3" t="s">
        <v>14</v>
      </c>
      <c r="F1" s="4" t="str">
        <f>Reference!F4</f>
        <v>2208, 2325, 2478, 2612, 2687, 2921, 3015, 4405, 5293</v>
      </c>
    </row>
    <row r="2" spans="1:6" x14ac:dyDescent="0.3">
      <c r="A2" s="1" t="s">
        <v>1</v>
      </c>
      <c r="B2" t="s">
        <v>8</v>
      </c>
      <c r="C2" s="3" t="s">
        <v>13</v>
      </c>
      <c r="E2" s="3" t="s">
        <v>17</v>
      </c>
      <c r="F2" s="3" t="str">
        <f>Reference!F5</f>
        <v>5296</v>
      </c>
    </row>
    <row r="3" spans="1:6" x14ac:dyDescent="0.3">
      <c r="A3" s="1" t="s">
        <v>12</v>
      </c>
      <c r="B3" t="s">
        <v>8</v>
      </c>
    </row>
    <row r="5" spans="1:6" x14ac:dyDescent="0.3">
      <c r="A5" s="1" t="s">
        <v>11</v>
      </c>
      <c r="B5" s="1" t="s">
        <v>10</v>
      </c>
    </row>
    <row r="6" spans="1:6" x14ac:dyDescent="0.3">
      <c r="A6" s="1" t="s">
        <v>9</v>
      </c>
      <c r="B6" t="s">
        <v>38</v>
      </c>
    </row>
    <row r="7" spans="1:6" x14ac:dyDescent="0.3">
      <c r="A7" s="2">
        <v>2208</v>
      </c>
      <c r="B7" s="5">
        <v>15.99</v>
      </c>
    </row>
    <row r="8" spans="1:6" x14ac:dyDescent="0.3">
      <c r="A8" s="2">
        <v>2325</v>
      </c>
      <c r="B8" s="5">
        <v>15.99</v>
      </c>
    </row>
    <row r="9" spans="1:6" x14ac:dyDescent="0.3">
      <c r="A9" s="2">
        <v>2478</v>
      </c>
      <c r="B9" s="5">
        <v>15.99</v>
      </c>
    </row>
    <row r="10" spans="1:6" x14ac:dyDescent="0.3">
      <c r="A10" s="2">
        <v>2612</v>
      </c>
      <c r="B10" s="5">
        <v>15.99</v>
      </c>
    </row>
    <row r="11" spans="1:6" x14ac:dyDescent="0.3">
      <c r="A11" s="2">
        <v>2687</v>
      </c>
      <c r="B11" s="5">
        <v>15.99</v>
      </c>
    </row>
    <row r="12" spans="1:6" x14ac:dyDescent="0.3">
      <c r="A12" s="2">
        <v>2921</v>
      </c>
      <c r="B12" s="5">
        <v>15.99</v>
      </c>
    </row>
    <row r="13" spans="1:6" x14ac:dyDescent="0.3">
      <c r="A13" s="2">
        <v>3015</v>
      </c>
      <c r="B13" s="5">
        <v>15.99</v>
      </c>
    </row>
    <row r="14" spans="1:6" x14ac:dyDescent="0.3">
      <c r="A14" s="2">
        <v>4405</v>
      </c>
      <c r="B14" s="5">
        <v>15.99</v>
      </c>
    </row>
    <row r="15" spans="1:6" x14ac:dyDescent="0.3">
      <c r="A15" s="2">
        <v>5293</v>
      </c>
      <c r="B15" s="5">
        <v>15.99</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A662CF-55B2-4CAD-8F52-3F0B1449FEC1}">
  <dimension ref="A1:G150"/>
  <sheetViews>
    <sheetView workbookViewId="0">
      <selection activeCell="F99" sqref="F99"/>
    </sheetView>
  </sheetViews>
  <sheetFormatPr defaultRowHeight="14.4" x14ac:dyDescent="0.3"/>
  <cols>
    <col min="1" max="1" width="14.5546875" bestFit="1" customWidth="1"/>
    <col min="2" max="2" width="22.88671875" bestFit="1" customWidth="1"/>
    <col min="3" max="3" width="7.44140625" bestFit="1" customWidth="1"/>
    <col min="4" max="4" width="40.33203125" bestFit="1" customWidth="1"/>
    <col min="5" max="5" width="80.88671875" bestFit="1" customWidth="1"/>
    <col min="6" max="6" width="7.33203125" bestFit="1" customWidth="1"/>
    <col min="7" max="7" width="11" bestFit="1" customWidth="1"/>
  </cols>
  <sheetData>
    <row r="1" spans="1:7" x14ac:dyDescent="0.3">
      <c r="A1" t="s">
        <v>0</v>
      </c>
      <c r="B1" t="s">
        <v>1</v>
      </c>
      <c r="C1" t="s">
        <v>2</v>
      </c>
      <c r="D1" t="s">
        <v>3</v>
      </c>
      <c r="E1" t="s">
        <v>4</v>
      </c>
      <c r="F1" t="s">
        <v>5</v>
      </c>
      <c r="G1" t="s">
        <v>12</v>
      </c>
    </row>
    <row r="2" spans="1:7" x14ac:dyDescent="0.3">
      <c r="A2" t="s">
        <v>18</v>
      </c>
      <c r="B2" t="s">
        <v>19</v>
      </c>
      <c r="C2">
        <v>2208</v>
      </c>
      <c r="D2" t="s">
        <v>20</v>
      </c>
      <c r="E2" t="s">
        <v>21</v>
      </c>
      <c r="F2">
        <v>13.99</v>
      </c>
      <c r="G2">
        <v>13.99</v>
      </c>
    </row>
    <row r="3" spans="1:7" x14ac:dyDescent="0.3">
      <c r="A3" t="s">
        <v>18</v>
      </c>
      <c r="B3" t="s">
        <v>19</v>
      </c>
      <c r="C3">
        <v>2208</v>
      </c>
      <c r="D3" t="s">
        <v>22</v>
      </c>
      <c r="E3" t="s">
        <v>23</v>
      </c>
      <c r="F3">
        <v>4.99</v>
      </c>
      <c r="G3">
        <v>4.99</v>
      </c>
    </row>
    <row r="4" spans="1:7" x14ac:dyDescent="0.3">
      <c r="A4" t="s">
        <v>18</v>
      </c>
      <c r="B4" t="s">
        <v>19</v>
      </c>
      <c r="C4">
        <v>2208</v>
      </c>
      <c r="D4" t="s">
        <v>6</v>
      </c>
      <c r="E4" t="s">
        <v>7</v>
      </c>
      <c r="F4">
        <v>6.99</v>
      </c>
      <c r="G4">
        <v>6.99</v>
      </c>
    </row>
    <row r="5" spans="1:7" x14ac:dyDescent="0.3">
      <c r="A5" t="s">
        <v>18</v>
      </c>
      <c r="B5" t="s">
        <v>19</v>
      </c>
      <c r="C5">
        <v>2208</v>
      </c>
      <c r="D5" t="s">
        <v>24</v>
      </c>
      <c r="E5" t="s">
        <v>25</v>
      </c>
      <c r="F5">
        <v>9.99</v>
      </c>
      <c r="G5">
        <v>9.99</v>
      </c>
    </row>
    <row r="6" spans="1:7" x14ac:dyDescent="0.3">
      <c r="A6" t="s">
        <v>18</v>
      </c>
      <c r="B6" t="s">
        <v>19</v>
      </c>
      <c r="C6">
        <v>2208</v>
      </c>
      <c r="D6" t="s">
        <v>26</v>
      </c>
      <c r="E6" t="s">
        <v>27</v>
      </c>
      <c r="F6">
        <v>12.99</v>
      </c>
      <c r="G6">
        <v>12.99</v>
      </c>
    </row>
    <row r="7" spans="1:7" x14ac:dyDescent="0.3">
      <c r="A7" t="s">
        <v>18</v>
      </c>
      <c r="B7" t="s">
        <v>19</v>
      </c>
      <c r="C7">
        <v>2208</v>
      </c>
      <c r="D7" t="s">
        <v>28</v>
      </c>
      <c r="E7" t="s">
        <v>29</v>
      </c>
      <c r="F7">
        <v>15.99</v>
      </c>
      <c r="G7">
        <v>15.99</v>
      </c>
    </row>
    <row r="8" spans="1:7" x14ac:dyDescent="0.3">
      <c r="A8" t="s">
        <v>18</v>
      </c>
      <c r="B8" t="s">
        <v>19</v>
      </c>
      <c r="C8">
        <v>2208</v>
      </c>
      <c r="D8" t="s">
        <v>30</v>
      </c>
      <c r="E8" t="s">
        <v>31</v>
      </c>
      <c r="F8">
        <v>10</v>
      </c>
      <c r="G8">
        <v>10</v>
      </c>
    </row>
    <row r="9" spans="1:7" x14ac:dyDescent="0.3">
      <c r="A9" t="s">
        <v>18</v>
      </c>
      <c r="B9" t="s">
        <v>19</v>
      </c>
      <c r="C9">
        <v>2208</v>
      </c>
      <c r="D9" t="s">
        <v>32</v>
      </c>
      <c r="E9" t="s">
        <v>33</v>
      </c>
      <c r="F9">
        <v>15.99</v>
      </c>
      <c r="G9">
        <v>15.99</v>
      </c>
    </row>
    <row r="10" spans="1:7" x14ac:dyDescent="0.3">
      <c r="A10" t="s">
        <v>18</v>
      </c>
      <c r="B10" t="s">
        <v>19</v>
      </c>
      <c r="C10">
        <v>2208</v>
      </c>
      <c r="D10" t="s">
        <v>34</v>
      </c>
      <c r="E10" t="s">
        <v>35</v>
      </c>
      <c r="F10">
        <v>18.989999999999998</v>
      </c>
      <c r="G10">
        <v>18.989999999999998</v>
      </c>
    </row>
    <row r="11" spans="1:7" x14ac:dyDescent="0.3">
      <c r="A11" t="s">
        <v>18</v>
      </c>
      <c r="B11" t="s">
        <v>19</v>
      </c>
      <c r="C11">
        <v>2208</v>
      </c>
      <c r="D11" t="s">
        <v>36</v>
      </c>
      <c r="E11" t="s">
        <v>37</v>
      </c>
      <c r="F11">
        <v>25.99</v>
      </c>
      <c r="G11">
        <v>25.99</v>
      </c>
    </row>
    <row r="12" spans="1:7" x14ac:dyDescent="0.3">
      <c r="A12" t="s">
        <v>18</v>
      </c>
      <c r="B12" t="s">
        <v>19</v>
      </c>
      <c r="C12">
        <v>2208</v>
      </c>
      <c r="D12" t="s">
        <v>38</v>
      </c>
      <c r="E12" t="s">
        <v>39</v>
      </c>
      <c r="F12">
        <v>15.99</v>
      </c>
      <c r="G12">
        <v>15.99</v>
      </c>
    </row>
    <row r="13" spans="1:7" x14ac:dyDescent="0.3">
      <c r="A13" t="s">
        <v>18</v>
      </c>
      <c r="B13" t="s">
        <v>19</v>
      </c>
      <c r="C13">
        <v>2208</v>
      </c>
      <c r="D13" t="s">
        <v>40</v>
      </c>
      <c r="E13" t="s">
        <v>41</v>
      </c>
      <c r="F13">
        <v>29.99</v>
      </c>
      <c r="G13">
        <v>29.99</v>
      </c>
    </row>
    <row r="14" spans="1:7" x14ac:dyDescent="0.3">
      <c r="A14" t="s">
        <v>18</v>
      </c>
      <c r="B14" t="s">
        <v>19</v>
      </c>
      <c r="C14">
        <v>2208</v>
      </c>
      <c r="D14" t="s">
        <v>42</v>
      </c>
      <c r="E14" t="s">
        <v>43</v>
      </c>
      <c r="F14">
        <v>14.99</v>
      </c>
      <c r="G14">
        <v>14.99</v>
      </c>
    </row>
    <row r="15" spans="1:7" x14ac:dyDescent="0.3">
      <c r="A15" t="s">
        <v>18</v>
      </c>
      <c r="B15" t="s">
        <v>19</v>
      </c>
      <c r="C15">
        <v>2208</v>
      </c>
      <c r="D15" t="s">
        <v>44</v>
      </c>
      <c r="E15" t="s">
        <v>45</v>
      </c>
      <c r="F15">
        <v>0</v>
      </c>
      <c r="G15">
        <v>0</v>
      </c>
    </row>
    <row r="16" spans="1:7" x14ac:dyDescent="0.3">
      <c r="A16" t="s">
        <v>18</v>
      </c>
      <c r="B16" t="s">
        <v>19</v>
      </c>
      <c r="C16">
        <v>2208</v>
      </c>
      <c r="D16" t="s">
        <v>46</v>
      </c>
      <c r="E16" t="s">
        <v>47</v>
      </c>
      <c r="F16">
        <v>0</v>
      </c>
      <c r="G16">
        <v>0</v>
      </c>
    </row>
    <row r="17" spans="1:7" x14ac:dyDescent="0.3">
      <c r="A17" t="s">
        <v>18</v>
      </c>
      <c r="B17" t="s">
        <v>19</v>
      </c>
      <c r="C17">
        <v>2325</v>
      </c>
      <c r="D17" t="s">
        <v>20</v>
      </c>
      <c r="E17" t="s">
        <v>21</v>
      </c>
      <c r="F17">
        <v>13.99</v>
      </c>
      <c r="G17">
        <v>13.99</v>
      </c>
    </row>
    <row r="18" spans="1:7" x14ac:dyDescent="0.3">
      <c r="A18" t="s">
        <v>18</v>
      </c>
      <c r="B18" t="s">
        <v>19</v>
      </c>
      <c r="C18">
        <v>2325</v>
      </c>
      <c r="D18" t="s">
        <v>22</v>
      </c>
      <c r="E18" t="s">
        <v>23</v>
      </c>
      <c r="F18">
        <v>4.99</v>
      </c>
      <c r="G18">
        <v>4.99</v>
      </c>
    </row>
    <row r="19" spans="1:7" x14ac:dyDescent="0.3">
      <c r="A19" t="s">
        <v>18</v>
      </c>
      <c r="B19" t="s">
        <v>19</v>
      </c>
      <c r="C19">
        <v>2325</v>
      </c>
      <c r="D19" t="s">
        <v>6</v>
      </c>
      <c r="E19" t="s">
        <v>7</v>
      </c>
      <c r="F19">
        <v>6.99</v>
      </c>
      <c r="G19">
        <v>6.99</v>
      </c>
    </row>
    <row r="20" spans="1:7" x14ac:dyDescent="0.3">
      <c r="A20" t="s">
        <v>18</v>
      </c>
      <c r="B20" t="s">
        <v>19</v>
      </c>
      <c r="C20">
        <v>2325</v>
      </c>
      <c r="D20" t="s">
        <v>24</v>
      </c>
      <c r="E20" t="s">
        <v>25</v>
      </c>
      <c r="F20">
        <v>9.99</v>
      </c>
      <c r="G20">
        <v>9.99</v>
      </c>
    </row>
    <row r="21" spans="1:7" x14ac:dyDescent="0.3">
      <c r="A21" t="s">
        <v>18</v>
      </c>
      <c r="B21" t="s">
        <v>19</v>
      </c>
      <c r="C21">
        <v>2325</v>
      </c>
      <c r="D21" t="s">
        <v>26</v>
      </c>
      <c r="E21" t="s">
        <v>27</v>
      </c>
      <c r="F21">
        <v>12.99</v>
      </c>
      <c r="G21">
        <v>12.99</v>
      </c>
    </row>
    <row r="22" spans="1:7" x14ac:dyDescent="0.3">
      <c r="A22" t="s">
        <v>18</v>
      </c>
      <c r="B22" t="s">
        <v>19</v>
      </c>
      <c r="C22">
        <v>2325</v>
      </c>
      <c r="D22" t="s">
        <v>28</v>
      </c>
      <c r="E22" t="s">
        <v>29</v>
      </c>
      <c r="F22">
        <v>15.99</v>
      </c>
      <c r="G22">
        <v>15.99</v>
      </c>
    </row>
    <row r="23" spans="1:7" x14ac:dyDescent="0.3">
      <c r="A23" t="s">
        <v>18</v>
      </c>
      <c r="B23" t="s">
        <v>19</v>
      </c>
      <c r="C23">
        <v>2325</v>
      </c>
      <c r="D23" t="s">
        <v>30</v>
      </c>
      <c r="E23" t="s">
        <v>31</v>
      </c>
      <c r="F23">
        <v>10</v>
      </c>
      <c r="G23">
        <v>10</v>
      </c>
    </row>
    <row r="24" spans="1:7" x14ac:dyDescent="0.3">
      <c r="A24" t="s">
        <v>18</v>
      </c>
      <c r="B24" t="s">
        <v>19</v>
      </c>
      <c r="C24">
        <v>2325</v>
      </c>
      <c r="D24" t="s">
        <v>32</v>
      </c>
      <c r="E24" t="s">
        <v>33</v>
      </c>
      <c r="F24">
        <v>15.99</v>
      </c>
      <c r="G24">
        <v>15.99</v>
      </c>
    </row>
    <row r="25" spans="1:7" x14ac:dyDescent="0.3">
      <c r="A25" t="s">
        <v>18</v>
      </c>
      <c r="B25" t="s">
        <v>19</v>
      </c>
      <c r="C25">
        <v>2325</v>
      </c>
      <c r="D25" t="s">
        <v>34</v>
      </c>
      <c r="E25" t="s">
        <v>35</v>
      </c>
      <c r="F25">
        <v>18.989999999999998</v>
      </c>
      <c r="G25">
        <v>18.989999999999998</v>
      </c>
    </row>
    <row r="26" spans="1:7" x14ac:dyDescent="0.3">
      <c r="A26" t="s">
        <v>18</v>
      </c>
      <c r="B26" t="s">
        <v>19</v>
      </c>
      <c r="C26">
        <v>2325</v>
      </c>
      <c r="D26" t="s">
        <v>36</v>
      </c>
      <c r="E26" t="s">
        <v>37</v>
      </c>
      <c r="F26">
        <v>25.99</v>
      </c>
      <c r="G26">
        <v>25.99</v>
      </c>
    </row>
    <row r="27" spans="1:7" x14ac:dyDescent="0.3">
      <c r="A27" t="s">
        <v>18</v>
      </c>
      <c r="B27" t="s">
        <v>19</v>
      </c>
      <c r="C27">
        <v>2325</v>
      </c>
      <c r="D27" t="s">
        <v>38</v>
      </c>
      <c r="E27" t="s">
        <v>39</v>
      </c>
      <c r="F27">
        <v>15.99</v>
      </c>
      <c r="G27">
        <v>15.99</v>
      </c>
    </row>
    <row r="28" spans="1:7" x14ac:dyDescent="0.3">
      <c r="A28" t="s">
        <v>18</v>
      </c>
      <c r="B28" t="s">
        <v>19</v>
      </c>
      <c r="C28">
        <v>2325</v>
      </c>
      <c r="D28" t="s">
        <v>40</v>
      </c>
      <c r="E28" t="s">
        <v>41</v>
      </c>
      <c r="F28">
        <v>29.99</v>
      </c>
      <c r="G28">
        <v>29.99</v>
      </c>
    </row>
    <row r="29" spans="1:7" x14ac:dyDescent="0.3">
      <c r="A29" t="s">
        <v>18</v>
      </c>
      <c r="B29" t="s">
        <v>19</v>
      </c>
      <c r="C29">
        <v>2325</v>
      </c>
      <c r="D29" t="s">
        <v>42</v>
      </c>
      <c r="E29" t="s">
        <v>43</v>
      </c>
      <c r="F29">
        <v>14.99</v>
      </c>
      <c r="G29">
        <v>14.99</v>
      </c>
    </row>
    <row r="30" spans="1:7" x14ac:dyDescent="0.3">
      <c r="A30" t="s">
        <v>18</v>
      </c>
      <c r="B30" t="s">
        <v>19</v>
      </c>
      <c r="C30">
        <v>2325</v>
      </c>
      <c r="D30" t="s">
        <v>44</v>
      </c>
      <c r="E30" t="s">
        <v>45</v>
      </c>
      <c r="F30">
        <v>0</v>
      </c>
      <c r="G30">
        <v>0</v>
      </c>
    </row>
    <row r="31" spans="1:7" x14ac:dyDescent="0.3">
      <c r="A31" t="s">
        <v>18</v>
      </c>
      <c r="B31" t="s">
        <v>19</v>
      </c>
      <c r="C31">
        <v>2325</v>
      </c>
      <c r="D31" t="s">
        <v>46</v>
      </c>
      <c r="E31" t="s">
        <v>47</v>
      </c>
      <c r="F31">
        <v>0</v>
      </c>
      <c r="G31">
        <v>0</v>
      </c>
    </row>
    <row r="32" spans="1:7" x14ac:dyDescent="0.3">
      <c r="A32" t="s">
        <v>18</v>
      </c>
      <c r="B32" t="s">
        <v>19</v>
      </c>
      <c r="C32">
        <v>2478</v>
      </c>
      <c r="D32" t="s">
        <v>20</v>
      </c>
      <c r="E32" t="s">
        <v>21</v>
      </c>
      <c r="F32">
        <v>13.99</v>
      </c>
      <c r="G32">
        <v>13.99</v>
      </c>
    </row>
    <row r="33" spans="1:7" x14ac:dyDescent="0.3">
      <c r="A33" t="s">
        <v>18</v>
      </c>
      <c r="B33" t="s">
        <v>19</v>
      </c>
      <c r="C33">
        <v>2478</v>
      </c>
      <c r="D33" t="s">
        <v>22</v>
      </c>
      <c r="E33" t="s">
        <v>23</v>
      </c>
      <c r="F33">
        <v>4.99</v>
      </c>
      <c r="G33">
        <v>4.99</v>
      </c>
    </row>
    <row r="34" spans="1:7" x14ac:dyDescent="0.3">
      <c r="A34" t="s">
        <v>18</v>
      </c>
      <c r="B34" t="s">
        <v>19</v>
      </c>
      <c r="C34">
        <v>2478</v>
      </c>
      <c r="D34" t="s">
        <v>6</v>
      </c>
      <c r="E34" t="s">
        <v>7</v>
      </c>
      <c r="F34">
        <v>6.99</v>
      </c>
      <c r="G34">
        <v>6.99</v>
      </c>
    </row>
    <row r="35" spans="1:7" x14ac:dyDescent="0.3">
      <c r="A35" t="s">
        <v>18</v>
      </c>
      <c r="B35" t="s">
        <v>19</v>
      </c>
      <c r="C35">
        <v>2478</v>
      </c>
      <c r="D35" t="s">
        <v>24</v>
      </c>
      <c r="E35" t="s">
        <v>25</v>
      </c>
      <c r="F35">
        <v>9.99</v>
      </c>
      <c r="G35">
        <v>9.99</v>
      </c>
    </row>
    <row r="36" spans="1:7" x14ac:dyDescent="0.3">
      <c r="A36" t="s">
        <v>18</v>
      </c>
      <c r="B36" t="s">
        <v>19</v>
      </c>
      <c r="C36">
        <v>2478</v>
      </c>
      <c r="D36" t="s">
        <v>26</v>
      </c>
      <c r="E36" t="s">
        <v>27</v>
      </c>
      <c r="F36">
        <v>12.99</v>
      </c>
      <c r="G36">
        <v>12.99</v>
      </c>
    </row>
    <row r="37" spans="1:7" x14ac:dyDescent="0.3">
      <c r="A37" t="s">
        <v>18</v>
      </c>
      <c r="B37" t="s">
        <v>19</v>
      </c>
      <c r="C37">
        <v>2478</v>
      </c>
      <c r="D37" t="s">
        <v>28</v>
      </c>
      <c r="E37" t="s">
        <v>29</v>
      </c>
      <c r="F37">
        <v>15.99</v>
      </c>
      <c r="G37">
        <v>15.99</v>
      </c>
    </row>
    <row r="38" spans="1:7" x14ac:dyDescent="0.3">
      <c r="A38" t="s">
        <v>18</v>
      </c>
      <c r="B38" t="s">
        <v>19</v>
      </c>
      <c r="C38">
        <v>2478</v>
      </c>
      <c r="D38" t="s">
        <v>30</v>
      </c>
      <c r="E38" t="s">
        <v>31</v>
      </c>
      <c r="F38">
        <v>10</v>
      </c>
      <c r="G38">
        <v>10</v>
      </c>
    </row>
    <row r="39" spans="1:7" x14ac:dyDescent="0.3">
      <c r="A39" t="s">
        <v>18</v>
      </c>
      <c r="B39" t="s">
        <v>19</v>
      </c>
      <c r="C39">
        <v>2478</v>
      </c>
      <c r="D39" t="s">
        <v>32</v>
      </c>
      <c r="E39" t="s">
        <v>33</v>
      </c>
      <c r="F39">
        <v>15.99</v>
      </c>
      <c r="G39">
        <v>15.99</v>
      </c>
    </row>
    <row r="40" spans="1:7" x14ac:dyDescent="0.3">
      <c r="A40" t="s">
        <v>18</v>
      </c>
      <c r="B40" t="s">
        <v>19</v>
      </c>
      <c r="C40">
        <v>2478</v>
      </c>
      <c r="D40" t="s">
        <v>34</v>
      </c>
      <c r="E40" t="s">
        <v>35</v>
      </c>
      <c r="F40">
        <v>18.989999999999998</v>
      </c>
      <c r="G40">
        <v>18.989999999999998</v>
      </c>
    </row>
    <row r="41" spans="1:7" x14ac:dyDescent="0.3">
      <c r="A41" t="s">
        <v>18</v>
      </c>
      <c r="B41" t="s">
        <v>19</v>
      </c>
      <c r="C41">
        <v>2478</v>
      </c>
      <c r="D41" t="s">
        <v>36</v>
      </c>
      <c r="E41" t="s">
        <v>37</v>
      </c>
      <c r="F41">
        <v>25.99</v>
      </c>
      <c r="G41">
        <v>25.99</v>
      </c>
    </row>
    <row r="42" spans="1:7" x14ac:dyDescent="0.3">
      <c r="A42" t="s">
        <v>18</v>
      </c>
      <c r="B42" t="s">
        <v>19</v>
      </c>
      <c r="C42">
        <v>2478</v>
      </c>
      <c r="D42" t="s">
        <v>38</v>
      </c>
      <c r="E42" t="s">
        <v>39</v>
      </c>
      <c r="F42">
        <v>15.99</v>
      </c>
      <c r="G42">
        <v>15.99</v>
      </c>
    </row>
    <row r="43" spans="1:7" x14ac:dyDescent="0.3">
      <c r="A43" t="s">
        <v>18</v>
      </c>
      <c r="B43" t="s">
        <v>19</v>
      </c>
      <c r="C43">
        <v>2478</v>
      </c>
      <c r="D43" t="s">
        <v>40</v>
      </c>
      <c r="E43" t="s">
        <v>41</v>
      </c>
      <c r="F43">
        <v>29.99</v>
      </c>
      <c r="G43">
        <v>29.99</v>
      </c>
    </row>
    <row r="44" spans="1:7" x14ac:dyDescent="0.3">
      <c r="A44" t="s">
        <v>18</v>
      </c>
      <c r="B44" t="s">
        <v>19</v>
      </c>
      <c r="C44">
        <v>2478</v>
      </c>
      <c r="D44" t="s">
        <v>42</v>
      </c>
      <c r="E44" t="s">
        <v>43</v>
      </c>
      <c r="F44">
        <v>14.99</v>
      </c>
      <c r="G44">
        <v>14.99</v>
      </c>
    </row>
    <row r="45" spans="1:7" x14ac:dyDescent="0.3">
      <c r="A45" t="s">
        <v>18</v>
      </c>
      <c r="B45" t="s">
        <v>19</v>
      </c>
      <c r="C45">
        <v>2478</v>
      </c>
      <c r="D45" t="s">
        <v>44</v>
      </c>
      <c r="E45" t="s">
        <v>45</v>
      </c>
      <c r="F45">
        <v>0</v>
      </c>
      <c r="G45">
        <v>0</v>
      </c>
    </row>
    <row r="46" spans="1:7" x14ac:dyDescent="0.3">
      <c r="A46" t="s">
        <v>18</v>
      </c>
      <c r="B46" t="s">
        <v>19</v>
      </c>
      <c r="C46">
        <v>2478</v>
      </c>
      <c r="D46" t="s">
        <v>46</v>
      </c>
      <c r="E46" t="s">
        <v>47</v>
      </c>
      <c r="F46">
        <v>0</v>
      </c>
      <c r="G46">
        <v>0</v>
      </c>
    </row>
    <row r="47" spans="1:7" x14ac:dyDescent="0.3">
      <c r="A47" t="s">
        <v>18</v>
      </c>
      <c r="B47" t="s">
        <v>19</v>
      </c>
      <c r="C47">
        <v>2612</v>
      </c>
      <c r="D47" t="s">
        <v>20</v>
      </c>
      <c r="E47" t="s">
        <v>21</v>
      </c>
      <c r="F47">
        <v>13.99</v>
      </c>
      <c r="G47">
        <v>13.99</v>
      </c>
    </row>
    <row r="48" spans="1:7" x14ac:dyDescent="0.3">
      <c r="A48" t="s">
        <v>18</v>
      </c>
      <c r="B48" t="s">
        <v>19</v>
      </c>
      <c r="C48">
        <v>2612</v>
      </c>
      <c r="D48" t="s">
        <v>22</v>
      </c>
      <c r="E48" t="s">
        <v>23</v>
      </c>
      <c r="F48">
        <v>4.99</v>
      </c>
      <c r="G48">
        <v>4.99</v>
      </c>
    </row>
    <row r="49" spans="1:7" x14ac:dyDescent="0.3">
      <c r="A49" t="s">
        <v>18</v>
      </c>
      <c r="B49" t="s">
        <v>19</v>
      </c>
      <c r="C49">
        <v>2612</v>
      </c>
      <c r="D49" t="s">
        <v>6</v>
      </c>
      <c r="E49" t="s">
        <v>7</v>
      </c>
      <c r="F49">
        <v>6.99</v>
      </c>
      <c r="G49">
        <v>6.99</v>
      </c>
    </row>
    <row r="50" spans="1:7" x14ac:dyDescent="0.3">
      <c r="A50" t="s">
        <v>18</v>
      </c>
      <c r="B50" t="s">
        <v>19</v>
      </c>
      <c r="C50">
        <v>2612</v>
      </c>
      <c r="D50" t="s">
        <v>24</v>
      </c>
      <c r="E50" t="s">
        <v>25</v>
      </c>
      <c r="F50">
        <v>9.99</v>
      </c>
      <c r="G50">
        <v>9.99</v>
      </c>
    </row>
    <row r="51" spans="1:7" x14ac:dyDescent="0.3">
      <c r="A51" t="s">
        <v>18</v>
      </c>
      <c r="B51" t="s">
        <v>19</v>
      </c>
      <c r="C51">
        <v>2612</v>
      </c>
      <c r="D51" t="s">
        <v>26</v>
      </c>
      <c r="E51" t="s">
        <v>27</v>
      </c>
      <c r="F51">
        <v>12.99</v>
      </c>
      <c r="G51">
        <v>12.99</v>
      </c>
    </row>
    <row r="52" spans="1:7" x14ac:dyDescent="0.3">
      <c r="A52" t="s">
        <v>18</v>
      </c>
      <c r="B52" t="s">
        <v>19</v>
      </c>
      <c r="C52">
        <v>2612</v>
      </c>
      <c r="D52" t="s">
        <v>28</v>
      </c>
      <c r="E52" t="s">
        <v>29</v>
      </c>
      <c r="F52">
        <v>15.99</v>
      </c>
      <c r="G52">
        <v>15.99</v>
      </c>
    </row>
    <row r="53" spans="1:7" x14ac:dyDescent="0.3">
      <c r="A53" t="s">
        <v>18</v>
      </c>
      <c r="B53" t="s">
        <v>19</v>
      </c>
      <c r="C53">
        <v>2612</v>
      </c>
      <c r="D53" t="s">
        <v>30</v>
      </c>
      <c r="E53" t="s">
        <v>31</v>
      </c>
      <c r="F53">
        <v>10</v>
      </c>
      <c r="G53">
        <v>10</v>
      </c>
    </row>
    <row r="54" spans="1:7" x14ac:dyDescent="0.3">
      <c r="A54" t="s">
        <v>18</v>
      </c>
      <c r="B54" t="s">
        <v>19</v>
      </c>
      <c r="C54">
        <v>2612</v>
      </c>
      <c r="D54" t="s">
        <v>32</v>
      </c>
      <c r="E54" t="s">
        <v>33</v>
      </c>
      <c r="F54">
        <v>15.99</v>
      </c>
      <c r="G54">
        <v>15.99</v>
      </c>
    </row>
    <row r="55" spans="1:7" x14ac:dyDescent="0.3">
      <c r="A55" t="s">
        <v>18</v>
      </c>
      <c r="B55" t="s">
        <v>19</v>
      </c>
      <c r="C55">
        <v>2612</v>
      </c>
      <c r="D55" t="s">
        <v>34</v>
      </c>
      <c r="E55" t="s">
        <v>35</v>
      </c>
      <c r="F55">
        <v>18.989999999999998</v>
      </c>
      <c r="G55">
        <v>18.989999999999998</v>
      </c>
    </row>
    <row r="56" spans="1:7" x14ac:dyDescent="0.3">
      <c r="A56" t="s">
        <v>18</v>
      </c>
      <c r="B56" t="s">
        <v>19</v>
      </c>
      <c r="C56">
        <v>2612</v>
      </c>
      <c r="D56" t="s">
        <v>36</v>
      </c>
      <c r="E56" t="s">
        <v>37</v>
      </c>
      <c r="F56">
        <v>25.99</v>
      </c>
      <c r="G56">
        <v>25.99</v>
      </c>
    </row>
    <row r="57" spans="1:7" x14ac:dyDescent="0.3">
      <c r="A57" t="s">
        <v>18</v>
      </c>
      <c r="B57" t="s">
        <v>19</v>
      </c>
      <c r="C57">
        <v>2612</v>
      </c>
      <c r="D57" t="s">
        <v>38</v>
      </c>
      <c r="E57" t="s">
        <v>39</v>
      </c>
      <c r="F57">
        <v>15.99</v>
      </c>
      <c r="G57">
        <v>15.99</v>
      </c>
    </row>
    <row r="58" spans="1:7" x14ac:dyDescent="0.3">
      <c r="A58" t="s">
        <v>18</v>
      </c>
      <c r="B58" t="s">
        <v>19</v>
      </c>
      <c r="C58">
        <v>2612</v>
      </c>
      <c r="D58" t="s">
        <v>40</v>
      </c>
      <c r="E58" t="s">
        <v>41</v>
      </c>
      <c r="F58">
        <v>29.99</v>
      </c>
      <c r="G58">
        <v>29.99</v>
      </c>
    </row>
    <row r="59" spans="1:7" x14ac:dyDescent="0.3">
      <c r="A59" t="s">
        <v>18</v>
      </c>
      <c r="B59" t="s">
        <v>19</v>
      </c>
      <c r="C59">
        <v>2612</v>
      </c>
      <c r="D59" t="s">
        <v>42</v>
      </c>
      <c r="E59" t="s">
        <v>43</v>
      </c>
      <c r="F59">
        <v>14.99</v>
      </c>
      <c r="G59">
        <v>14.99</v>
      </c>
    </row>
    <row r="60" spans="1:7" x14ac:dyDescent="0.3">
      <c r="A60" t="s">
        <v>18</v>
      </c>
      <c r="B60" t="s">
        <v>19</v>
      </c>
      <c r="C60">
        <v>2612</v>
      </c>
      <c r="D60" t="s">
        <v>44</v>
      </c>
      <c r="E60" t="s">
        <v>45</v>
      </c>
      <c r="F60">
        <v>0</v>
      </c>
      <c r="G60">
        <v>0</v>
      </c>
    </row>
    <row r="61" spans="1:7" x14ac:dyDescent="0.3">
      <c r="A61" t="s">
        <v>18</v>
      </c>
      <c r="B61" t="s">
        <v>19</v>
      </c>
      <c r="C61">
        <v>2612</v>
      </c>
      <c r="D61" t="s">
        <v>46</v>
      </c>
      <c r="E61" t="s">
        <v>47</v>
      </c>
      <c r="F61">
        <v>0</v>
      </c>
      <c r="G61">
        <v>0</v>
      </c>
    </row>
    <row r="62" spans="1:7" x14ac:dyDescent="0.3">
      <c r="A62" t="s">
        <v>18</v>
      </c>
      <c r="B62" t="s">
        <v>19</v>
      </c>
      <c r="C62">
        <v>2687</v>
      </c>
      <c r="D62" t="s">
        <v>20</v>
      </c>
      <c r="E62" t="s">
        <v>21</v>
      </c>
      <c r="F62">
        <v>13.99</v>
      </c>
      <c r="G62">
        <v>13.99</v>
      </c>
    </row>
    <row r="63" spans="1:7" x14ac:dyDescent="0.3">
      <c r="A63" t="s">
        <v>18</v>
      </c>
      <c r="B63" t="s">
        <v>19</v>
      </c>
      <c r="C63">
        <v>2687</v>
      </c>
      <c r="D63" t="s">
        <v>22</v>
      </c>
      <c r="E63" t="s">
        <v>23</v>
      </c>
      <c r="F63">
        <v>4.99</v>
      </c>
      <c r="G63">
        <v>4.99</v>
      </c>
    </row>
    <row r="64" spans="1:7" x14ac:dyDescent="0.3">
      <c r="A64" t="s">
        <v>18</v>
      </c>
      <c r="B64" t="s">
        <v>19</v>
      </c>
      <c r="C64">
        <v>2687</v>
      </c>
      <c r="D64" t="s">
        <v>6</v>
      </c>
      <c r="E64" t="s">
        <v>7</v>
      </c>
      <c r="F64">
        <v>6.99</v>
      </c>
      <c r="G64">
        <v>6.99</v>
      </c>
    </row>
    <row r="65" spans="1:7" x14ac:dyDescent="0.3">
      <c r="A65" t="s">
        <v>18</v>
      </c>
      <c r="B65" t="s">
        <v>19</v>
      </c>
      <c r="C65">
        <v>2687</v>
      </c>
      <c r="D65" t="s">
        <v>24</v>
      </c>
      <c r="E65" t="s">
        <v>25</v>
      </c>
      <c r="F65">
        <v>9.99</v>
      </c>
      <c r="G65">
        <v>9.99</v>
      </c>
    </row>
    <row r="66" spans="1:7" x14ac:dyDescent="0.3">
      <c r="A66" t="s">
        <v>18</v>
      </c>
      <c r="B66" t="s">
        <v>19</v>
      </c>
      <c r="C66">
        <v>2687</v>
      </c>
      <c r="D66" t="s">
        <v>26</v>
      </c>
      <c r="E66" t="s">
        <v>27</v>
      </c>
      <c r="F66">
        <v>12.99</v>
      </c>
      <c r="G66">
        <v>12.99</v>
      </c>
    </row>
    <row r="67" spans="1:7" x14ac:dyDescent="0.3">
      <c r="A67" t="s">
        <v>18</v>
      </c>
      <c r="B67" t="s">
        <v>19</v>
      </c>
      <c r="C67">
        <v>2687</v>
      </c>
      <c r="D67" t="s">
        <v>28</v>
      </c>
      <c r="E67" t="s">
        <v>29</v>
      </c>
      <c r="F67">
        <v>15.99</v>
      </c>
      <c r="G67">
        <v>15.99</v>
      </c>
    </row>
    <row r="68" spans="1:7" x14ac:dyDescent="0.3">
      <c r="A68" t="s">
        <v>18</v>
      </c>
      <c r="B68" t="s">
        <v>19</v>
      </c>
      <c r="C68">
        <v>2687</v>
      </c>
      <c r="D68" t="s">
        <v>30</v>
      </c>
      <c r="E68" t="s">
        <v>31</v>
      </c>
      <c r="F68">
        <v>10</v>
      </c>
      <c r="G68">
        <v>10</v>
      </c>
    </row>
    <row r="69" spans="1:7" x14ac:dyDescent="0.3">
      <c r="A69" t="s">
        <v>18</v>
      </c>
      <c r="B69" t="s">
        <v>19</v>
      </c>
      <c r="C69">
        <v>2687</v>
      </c>
      <c r="D69" t="s">
        <v>32</v>
      </c>
      <c r="E69" t="s">
        <v>33</v>
      </c>
      <c r="F69">
        <v>15.99</v>
      </c>
      <c r="G69">
        <v>15.99</v>
      </c>
    </row>
    <row r="70" spans="1:7" x14ac:dyDescent="0.3">
      <c r="A70" t="s">
        <v>18</v>
      </c>
      <c r="B70" t="s">
        <v>19</v>
      </c>
      <c r="C70">
        <v>2687</v>
      </c>
      <c r="D70" t="s">
        <v>34</v>
      </c>
      <c r="E70" t="s">
        <v>35</v>
      </c>
      <c r="F70">
        <v>18.989999999999998</v>
      </c>
      <c r="G70">
        <v>18.989999999999998</v>
      </c>
    </row>
    <row r="71" spans="1:7" x14ac:dyDescent="0.3">
      <c r="A71" t="s">
        <v>18</v>
      </c>
      <c r="B71" t="s">
        <v>19</v>
      </c>
      <c r="C71">
        <v>2687</v>
      </c>
      <c r="D71" t="s">
        <v>36</v>
      </c>
      <c r="E71" t="s">
        <v>37</v>
      </c>
      <c r="F71">
        <v>25.99</v>
      </c>
      <c r="G71">
        <v>25.99</v>
      </c>
    </row>
    <row r="72" spans="1:7" x14ac:dyDescent="0.3">
      <c r="A72" t="s">
        <v>18</v>
      </c>
      <c r="B72" t="s">
        <v>19</v>
      </c>
      <c r="C72">
        <v>2687</v>
      </c>
      <c r="D72" t="s">
        <v>38</v>
      </c>
      <c r="E72" t="s">
        <v>39</v>
      </c>
      <c r="F72">
        <v>15.99</v>
      </c>
      <c r="G72">
        <v>15.99</v>
      </c>
    </row>
    <row r="73" spans="1:7" x14ac:dyDescent="0.3">
      <c r="A73" t="s">
        <v>18</v>
      </c>
      <c r="B73" t="s">
        <v>19</v>
      </c>
      <c r="C73">
        <v>2687</v>
      </c>
      <c r="D73" t="s">
        <v>40</v>
      </c>
      <c r="E73" t="s">
        <v>41</v>
      </c>
      <c r="F73">
        <v>29.99</v>
      </c>
      <c r="G73">
        <v>29.99</v>
      </c>
    </row>
    <row r="74" spans="1:7" x14ac:dyDescent="0.3">
      <c r="A74" t="s">
        <v>18</v>
      </c>
      <c r="B74" t="s">
        <v>19</v>
      </c>
      <c r="C74">
        <v>2687</v>
      </c>
      <c r="D74" t="s">
        <v>42</v>
      </c>
      <c r="E74" t="s">
        <v>43</v>
      </c>
      <c r="F74">
        <v>14.99</v>
      </c>
      <c r="G74">
        <v>14.99</v>
      </c>
    </row>
    <row r="75" spans="1:7" x14ac:dyDescent="0.3">
      <c r="A75" t="s">
        <v>18</v>
      </c>
      <c r="B75" t="s">
        <v>19</v>
      </c>
      <c r="C75">
        <v>2687</v>
      </c>
      <c r="D75" t="s">
        <v>44</v>
      </c>
      <c r="E75" t="s">
        <v>45</v>
      </c>
      <c r="F75">
        <v>0</v>
      </c>
      <c r="G75">
        <v>0</v>
      </c>
    </row>
    <row r="76" spans="1:7" x14ac:dyDescent="0.3">
      <c r="A76" t="s">
        <v>18</v>
      </c>
      <c r="B76" t="s">
        <v>19</v>
      </c>
      <c r="C76">
        <v>2687</v>
      </c>
      <c r="D76" t="s">
        <v>46</v>
      </c>
      <c r="E76" t="s">
        <v>47</v>
      </c>
      <c r="F76">
        <v>0</v>
      </c>
      <c r="G76">
        <v>0</v>
      </c>
    </row>
    <row r="77" spans="1:7" x14ac:dyDescent="0.3">
      <c r="A77" t="s">
        <v>18</v>
      </c>
      <c r="B77" t="s">
        <v>19</v>
      </c>
      <c r="C77">
        <v>2921</v>
      </c>
      <c r="D77" t="s">
        <v>20</v>
      </c>
      <c r="E77" t="s">
        <v>21</v>
      </c>
      <c r="F77">
        <v>13.99</v>
      </c>
      <c r="G77">
        <v>13.99</v>
      </c>
    </row>
    <row r="78" spans="1:7" x14ac:dyDescent="0.3">
      <c r="A78" t="s">
        <v>18</v>
      </c>
      <c r="B78" t="s">
        <v>19</v>
      </c>
      <c r="C78">
        <v>2921</v>
      </c>
      <c r="D78" t="s">
        <v>22</v>
      </c>
      <c r="E78" t="s">
        <v>23</v>
      </c>
      <c r="F78">
        <v>4.99</v>
      </c>
      <c r="G78">
        <v>4.99</v>
      </c>
    </row>
    <row r="79" spans="1:7" x14ac:dyDescent="0.3">
      <c r="A79" t="s">
        <v>18</v>
      </c>
      <c r="B79" t="s">
        <v>19</v>
      </c>
      <c r="C79">
        <v>2921</v>
      </c>
      <c r="D79" t="s">
        <v>6</v>
      </c>
      <c r="E79" t="s">
        <v>7</v>
      </c>
      <c r="F79">
        <v>6.99</v>
      </c>
      <c r="G79">
        <v>6.99</v>
      </c>
    </row>
    <row r="80" spans="1:7" x14ac:dyDescent="0.3">
      <c r="A80" t="s">
        <v>18</v>
      </c>
      <c r="B80" t="s">
        <v>19</v>
      </c>
      <c r="C80">
        <v>2921</v>
      </c>
      <c r="D80" t="s">
        <v>24</v>
      </c>
      <c r="E80" t="s">
        <v>25</v>
      </c>
      <c r="F80">
        <v>9.99</v>
      </c>
      <c r="G80">
        <v>9.99</v>
      </c>
    </row>
    <row r="81" spans="1:7" x14ac:dyDescent="0.3">
      <c r="A81" t="s">
        <v>18</v>
      </c>
      <c r="B81" t="s">
        <v>19</v>
      </c>
      <c r="C81">
        <v>2921</v>
      </c>
      <c r="D81" t="s">
        <v>26</v>
      </c>
      <c r="E81" t="s">
        <v>27</v>
      </c>
      <c r="F81">
        <v>12.99</v>
      </c>
      <c r="G81">
        <v>12.99</v>
      </c>
    </row>
    <row r="82" spans="1:7" x14ac:dyDescent="0.3">
      <c r="A82" t="s">
        <v>18</v>
      </c>
      <c r="B82" t="s">
        <v>19</v>
      </c>
      <c r="C82">
        <v>2921</v>
      </c>
      <c r="D82" t="s">
        <v>28</v>
      </c>
      <c r="E82" t="s">
        <v>29</v>
      </c>
      <c r="F82">
        <v>15.99</v>
      </c>
      <c r="G82">
        <v>15.99</v>
      </c>
    </row>
    <row r="83" spans="1:7" x14ac:dyDescent="0.3">
      <c r="A83" t="s">
        <v>18</v>
      </c>
      <c r="B83" t="s">
        <v>19</v>
      </c>
      <c r="C83">
        <v>2921</v>
      </c>
      <c r="D83" t="s">
        <v>30</v>
      </c>
      <c r="E83" t="s">
        <v>31</v>
      </c>
      <c r="F83">
        <v>10</v>
      </c>
      <c r="G83">
        <v>10</v>
      </c>
    </row>
    <row r="84" spans="1:7" x14ac:dyDescent="0.3">
      <c r="A84" t="s">
        <v>18</v>
      </c>
      <c r="B84" t="s">
        <v>19</v>
      </c>
      <c r="C84">
        <v>2921</v>
      </c>
      <c r="D84" t="s">
        <v>32</v>
      </c>
      <c r="E84" t="s">
        <v>33</v>
      </c>
      <c r="F84">
        <v>15.99</v>
      </c>
      <c r="G84">
        <v>15.99</v>
      </c>
    </row>
    <row r="85" spans="1:7" x14ac:dyDescent="0.3">
      <c r="A85" t="s">
        <v>18</v>
      </c>
      <c r="B85" t="s">
        <v>19</v>
      </c>
      <c r="C85">
        <v>2921</v>
      </c>
      <c r="D85" t="s">
        <v>34</v>
      </c>
      <c r="E85" t="s">
        <v>35</v>
      </c>
      <c r="F85">
        <v>18.989999999999998</v>
      </c>
      <c r="G85">
        <v>18.989999999999998</v>
      </c>
    </row>
    <row r="86" spans="1:7" x14ac:dyDescent="0.3">
      <c r="A86" t="s">
        <v>18</v>
      </c>
      <c r="B86" t="s">
        <v>19</v>
      </c>
      <c r="C86">
        <v>2921</v>
      </c>
      <c r="D86" t="s">
        <v>36</v>
      </c>
      <c r="E86" t="s">
        <v>37</v>
      </c>
      <c r="F86">
        <v>25.99</v>
      </c>
      <c r="G86">
        <v>25.99</v>
      </c>
    </row>
    <row r="87" spans="1:7" x14ac:dyDescent="0.3">
      <c r="A87" t="s">
        <v>18</v>
      </c>
      <c r="B87" t="s">
        <v>19</v>
      </c>
      <c r="C87">
        <v>2921</v>
      </c>
      <c r="D87" t="s">
        <v>38</v>
      </c>
      <c r="E87" t="s">
        <v>39</v>
      </c>
      <c r="F87">
        <v>15.99</v>
      </c>
      <c r="G87">
        <v>15.99</v>
      </c>
    </row>
    <row r="88" spans="1:7" x14ac:dyDescent="0.3">
      <c r="A88" t="s">
        <v>18</v>
      </c>
      <c r="B88" t="s">
        <v>19</v>
      </c>
      <c r="C88">
        <v>2921</v>
      </c>
      <c r="D88" t="s">
        <v>40</v>
      </c>
      <c r="E88" t="s">
        <v>41</v>
      </c>
      <c r="F88">
        <v>29.99</v>
      </c>
      <c r="G88">
        <v>29.99</v>
      </c>
    </row>
    <row r="89" spans="1:7" x14ac:dyDescent="0.3">
      <c r="A89" t="s">
        <v>18</v>
      </c>
      <c r="B89" t="s">
        <v>19</v>
      </c>
      <c r="C89">
        <v>2921</v>
      </c>
      <c r="D89" t="s">
        <v>42</v>
      </c>
      <c r="E89" t="s">
        <v>43</v>
      </c>
      <c r="F89">
        <v>14.99</v>
      </c>
      <c r="G89">
        <v>14.99</v>
      </c>
    </row>
    <row r="90" spans="1:7" x14ac:dyDescent="0.3">
      <c r="A90" t="s">
        <v>18</v>
      </c>
      <c r="B90" t="s">
        <v>19</v>
      </c>
      <c r="C90">
        <v>2921</v>
      </c>
      <c r="D90" t="s">
        <v>44</v>
      </c>
      <c r="E90" t="s">
        <v>45</v>
      </c>
      <c r="F90">
        <v>0</v>
      </c>
      <c r="G90">
        <v>0</v>
      </c>
    </row>
    <row r="91" spans="1:7" x14ac:dyDescent="0.3">
      <c r="A91" t="s">
        <v>18</v>
      </c>
      <c r="B91" t="s">
        <v>19</v>
      </c>
      <c r="C91">
        <v>2921</v>
      </c>
      <c r="D91" t="s">
        <v>46</v>
      </c>
      <c r="E91" t="s">
        <v>47</v>
      </c>
      <c r="F91">
        <v>0</v>
      </c>
      <c r="G91">
        <v>0</v>
      </c>
    </row>
    <row r="92" spans="1:7" x14ac:dyDescent="0.3">
      <c r="A92" t="s">
        <v>18</v>
      </c>
      <c r="B92" t="s">
        <v>19</v>
      </c>
      <c r="C92">
        <v>3015</v>
      </c>
      <c r="D92" t="s">
        <v>20</v>
      </c>
      <c r="E92" t="s">
        <v>21</v>
      </c>
      <c r="F92">
        <v>13.99</v>
      </c>
      <c r="G92">
        <v>13.99</v>
      </c>
    </row>
    <row r="93" spans="1:7" x14ac:dyDescent="0.3">
      <c r="A93" t="s">
        <v>18</v>
      </c>
      <c r="B93" t="s">
        <v>19</v>
      </c>
      <c r="C93">
        <v>3015</v>
      </c>
      <c r="D93" t="s">
        <v>22</v>
      </c>
      <c r="E93" t="s">
        <v>23</v>
      </c>
      <c r="F93">
        <v>4.99</v>
      </c>
      <c r="G93">
        <v>4.99</v>
      </c>
    </row>
    <row r="94" spans="1:7" x14ac:dyDescent="0.3">
      <c r="A94" t="s">
        <v>18</v>
      </c>
      <c r="B94" t="s">
        <v>19</v>
      </c>
      <c r="C94">
        <v>3015</v>
      </c>
      <c r="D94" t="s">
        <v>6</v>
      </c>
      <c r="E94" t="s">
        <v>7</v>
      </c>
      <c r="F94">
        <v>6.99</v>
      </c>
      <c r="G94">
        <v>6.99</v>
      </c>
    </row>
    <row r="95" spans="1:7" x14ac:dyDescent="0.3">
      <c r="A95" t="s">
        <v>18</v>
      </c>
      <c r="B95" t="s">
        <v>19</v>
      </c>
      <c r="C95">
        <v>3015</v>
      </c>
      <c r="D95" t="s">
        <v>24</v>
      </c>
      <c r="E95" t="s">
        <v>25</v>
      </c>
      <c r="F95">
        <v>9.99</v>
      </c>
      <c r="G95">
        <v>9.99</v>
      </c>
    </row>
    <row r="96" spans="1:7" x14ac:dyDescent="0.3">
      <c r="A96" t="s">
        <v>18</v>
      </c>
      <c r="B96" t="s">
        <v>19</v>
      </c>
      <c r="C96">
        <v>3015</v>
      </c>
      <c r="D96" t="s">
        <v>26</v>
      </c>
      <c r="E96" t="s">
        <v>27</v>
      </c>
      <c r="F96">
        <v>12.99</v>
      </c>
      <c r="G96">
        <v>12.99</v>
      </c>
    </row>
    <row r="97" spans="1:7" x14ac:dyDescent="0.3">
      <c r="A97" t="s">
        <v>18</v>
      </c>
      <c r="B97" t="s">
        <v>19</v>
      </c>
      <c r="C97">
        <v>3015</v>
      </c>
      <c r="D97" t="s">
        <v>28</v>
      </c>
      <c r="E97" t="s">
        <v>29</v>
      </c>
      <c r="F97">
        <v>15.99</v>
      </c>
      <c r="G97">
        <v>15.99</v>
      </c>
    </row>
    <row r="98" spans="1:7" x14ac:dyDescent="0.3">
      <c r="A98" t="s">
        <v>18</v>
      </c>
      <c r="B98" t="s">
        <v>19</v>
      </c>
      <c r="C98">
        <v>3015</v>
      </c>
      <c r="D98" t="s">
        <v>30</v>
      </c>
      <c r="E98" t="s">
        <v>31</v>
      </c>
      <c r="F98">
        <v>10</v>
      </c>
      <c r="G98">
        <v>10</v>
      </c>
    </row>
    <row r="99" spans="1:7" x14ac:dyDescent="0.3">
      <c r="A99" t="s">
        <v>18</v>
      </c>
      <c r="B99" t="s">
        <v>19</v>
      </c>
      <c r="C99">
        <v>3015</v>
      </c>
      <c r="D99" t="s">
        <v>32</v>
      </c>
      <c r="E99" t="s">
        <v>33</v>
      </c>
      <c r="F99">
        <v>15.99</v>
      </c>
      <c r="G99">
        <v>15.99</v>
      </c>
    </row>
    <row r="100" spans="1:7" x14ac:dyDescent="0.3">
      <c r="A100" t="s">
        <v>18</v>
      </c>
      <c r="B100" t="s">
        <v>19</v>
      </c>
      <c r="C100">
        <v>3015</v>
      </c>
      <c r="D100" t="s">
        <v>34</v>
      </c>
      <c r="E100" t="s">
        <v>35</v>
      </c>
      <c r="F100">
        <v>18.989999999999998</v>
      </c>
      <c r="G100">
        <v>18.989999999999998</v>
      </c>
    </row>
    <row r="101" spans="1:7" x14ac:dyDescent="0.3">
      <c r="A101" t="s">
        <v>18</v>
      </c>
      <c r="B101" t="s">
        <v>19</v>
      </c>
      <c r="C101">
        <v>3015</v>
      </c>
      <c r="D101" t="s">
        <v>36</v>
      </c>
      <c r="E101" t="s">
        <v>37</v>
      </c>
      <c r="F101">
        <v>25.99</v>
      </c>
      <c r="G101">
        <v>25.99</v>
      </c>
    </row>
    <row r="102" spans="1:7" x14ac:dyDescent="0.3">
      <c r="A102" t="s">
        <v>18</v>
      </c>
      <c r="B102" t="s">
        <v>19</v>
      </c>
      <c r="C102">
        <v>3015</v>
      </c>
      <c r="D102" t="s">
        <v>38</v>
      </c>
      <c r="E102" t="s">
        <v>39</v>
      </c>
      <c r="F102">
        <v>15.99</v>
      </c>
      <c r="G102">
        <v>15.99</v>
      </c>
    </row>
    <row r="103" spans="1:7" x14ac:dyDescent="0.3">
      <c r="A103" t="s">
        <v>18</v>
      </c>
      <c r="B103" t="s">
        <v>19</v>
      </c>
      <c r="C103">
        <v>3015</v>
      </c>
      <c r="D103" t="s">
        <v>40</v>
      </c>
      <c r="E103" t="s">
        <v>41</v>
      </c>
      <c r="F103">
        <v>29.99</v>
      </c>
      <c r="G103">
        <v>29.99</v>
      </c>
    </row>
    <row r="104" spans="1:7" x14ac:dyDescent="0.3">
      <c r="A104" t="s">
        <v>18</v>
      </c>
      <c r="B104" t="s">
        <v>19</v>
      </c>
      <c r="C104">
        <v>3015</v>
      </c>
      <c r="D104" t="s">
        <v>42</v>
      </c>
      <c r="E104" t="s">
        <v>43</v>
      </c>
      <c r="F104">
        <v>14.99</v>
      </c>
      <c r="G104">
        <v>14.99</v>
      </c>
    </row>
    <row r="105" spans="1:7" x14ac:dyDescent="0.3">
      <c r="A105" t="s">
        <v>18</v>
      </c>
      <c r="B105" t="s">
        <v>19</v>
      </c>
      <c r="C105">
        <v>3015</v>
      </c>
      <c r="D105" t="s">
        <v>44</v>
      </c>
      <c r="E105" t="s">
        <v>45</v>
      </c>
      <c r="F105">
        <v>0</v>
      </c>
      <c r="G105">
        <v>0</v>
      </c>
    </row>
    <row r="106" spans="1:7" x14ac:dyDescent="0.3">
      <c r="A106" t="s">
        <v>18</v>
      </c>
      <c r="B106" t="s">
        <v>19</v>
      </c>
      <c r="C106">
        <v>3015</v>
      </c>
      <c r="D106" t="s">
        <v>46</v>
      </c>
      <c r="E106" t="s">
        <v>47</v>
      </c>
      <c r="F106">
        <v>0</v>
      </c>
      <c r="G106">
        <v>0</v>
      </c>
    </row>
    <row r="107" spans="1:7" x14ac:dyDescent="0.3">
      <c r="A107" t="s">
        <v>18</v>
      </c>
      <c r="B107" t="s">
        <v>19</v>
      </c>
      <c r="C107">
        <v>4405</v>
      </c>
      <c r="D107" t="s">
        <v>20</v>
      </c>
      <c r="E107" t="s">
        <v>21</v>
      </c>
      <c r="F107">
        <v>13.99</v>
      </c>
      <c r="G107">
        <v>13.99</v>
      </c>
    </row>
    <row r="108" spans="1:7" x14ac:dyDescent="0.3">
      <c r="A108" t="s">
        <v>18</v>
      </c>
      <c r="B108" t="s">
        <v>19</v>
      </c>
      <c r="C108">
        <v>4405</v>
      </c>
      <c r="D108" t="s">
        <v>22</v>
      </c>
      <c r="E108" t="s">
        <v>23</v>
      </c>
      <c r="F108">
        <v>4.99</v>
      </c>
      <c r="G108">
        <v>4.99</v>
      </c>
    </row>
    <row r="109" spans="1:7" x14ac:dyDescent="0.3">
      <c r="A109" t="s">
        <v>18</v>
      </c>
      <c r="B109" t="s">
        <v>19</v>
      </c>
      <c r="C109">
        <v>4405</v>
      </c>
      <c r="D109" t="s">
        <v>6</v>
      </c>
      <c r="E109" t="s">
        <v>7</v>
      </c>
      <c r="F109">
        <v>6.99</v>
      </c>
      <c r="G109">
        <v>6.99</v>
      </c>
    </row>
    <row r="110" spans="1:7" x14ac:dyDescent="0.3">
      <c r="A110" t="s">
        <v>18</v>
      </c>
      <c r="B110" t="s">
        <v>19</v>
      </c>
      <c r="C110">
        <v>4405</v>
      </c>
      <c r="D110" t="s">
        <v>24</v>
      </c>
      <c r="E110" t="s">
        <v>25</v>
      </c>
      <c r="F110">
        <v>9.99</v>
      </c>
      <c r="G110">
        <v>9.99</v>
      </c>
    </row>
    <row r="111" spans="1:7" x14ac:dyDescent="0.3">
      <c r="A111" t="s">
        <v>18</v>
      </c>
      <c r="B111" t="s">
        <v>19</v>
      </c>
      <c r="C111">
        <v>4405</v>
      </c>
      <c r="D111" t="s">
        <v>26</v>
      </c>
      <c r="E111" t="s">
        <v>27</v>
      </c>
      <c r="F111">
        <v>12.99</v>
      </c>
      <c r="G111">
        <v>12.99</v>
      </c>
    </row>
    <row r="112" spans="1:7" x14ac:dyDescent="0.3">
      <c r="A112" t="s">
        <v>18</v>
      </c>
      <c r="B112" t="s">
        <v>19</v>
      </c>
      <c r="C112">
        <v>4405</v>
      </c>
      <c r="D112" t="s">
        <v>28</v>
      </c>
      <c r="E112" t="s">
        <v>29</v>
      </c>
      <c r="F112">
        <v>15.99</v>
      </c>
      <c r="G112">
        <v>15.99</v>
      </c>
    </row>
    <row r="113" spans="1:7" x14ac:dyDescent="0.3">
      <c r="A113" t="s">
        <v>18</v>
      </c>
      <c r="B113" t="s">
        <v>19</v>
      </c>
      <c r="C113">
        <v>4405</v>
      </c>
      <c r="D113" t="s">
        <v>30</v>
      </c>
      <c r="E113" t="s">
        <v>31</v>
      </c>
      <c r="F113">
        <v>10</v>
      </c>
      <c r="G113">
        <v>10</v>
      </c>
    </row>
    <row r="114" spans="1:7" x14ac:dyDescent="0.3">
      <c r="A114" t="s">
        <v>18</v>
      </c>
      <c r="B114" t="s">
        <v>19</v>
      </c>
      <c r="C114">
        <v>4405</v>
      </c>
      <c r="D114" t="s">
        <v>32</v>
      </c>
      <c r="E114" t="s">
        <v>33</v>
      </c>
      <c r="F114">
        <v>15.99</v>
      </c>
      <c r="G114">
        <v>15.99</v>
      </c>
    </row>
    <row r="115" spans="1:7" x14ac:dyDescent="0.3">
      <c r="A115" t="s">
        <v>18</v>
      </c>
      <c r="B115" t="s">
        <v>19</v>
      </c>
      <c r="C115">
        <v>4405</v>
      </c>
      <c r="D115" t="s">
        <v>34</v>
      </c>
      <c r="E115" t="s">
        <v>35</v>
      </c>
      <c r="F115">
        <v>18.989999999999998</v>
      </c>
      <c r="G115">
        <v>18.989999999999998</v>
      </c>
    </row>
    <row r="116" spans="1:7" x14ac:dyDescent="0.3">
      <c r="A116" t="s">
        <v>18</v>
      </c>
      <c r="B116" t="s">
        <v>19</v>
      </c>
      <c r="C116">
        <v>4405</v>
      </c>
      <c r="D116" t="s">
        <v>36</v>
      </c>
      <c r="E116" t="s">
        <v>37</v>
      </c>
      <c r="F116">
        <v>25.99</v>
      </c>
      <c r="G116">
        <v>25.99</v>
      </c>
    </row>
    <row r="117" spans="1:7" x14ac:dyDescent="0.3">
      <c r="A117" t="s">
        <v>18</v>
      </c>
      <c r="B117" t="s">
        <v>19</v>
      </c>
      <c r="C117">
        <v>4405</v>
      </c>
      <c r="D117" t="s">
        <v>38</v>
      </c>
      <c r="E117" t="s">
        <v>39</v>
      </c>
      <c r="F117">
        <v>15.99</v>
      </c>
      <c r="G117">
        <v>15.99</v>
      </c>
    </row>
    <row r="118" spans="1:7" x14ac:dyDescent="0.3">
      <c r="A118" t="s">
        <v>18</v>
      </c>
      <c r="B118" t="s">
        <v>19</v>
      </c>
      <c r="C118">
        <v>4405</v>
      </c>
      <c r="D118" t="s">
        <v>40</v>
      </c>
      <c r="E118" t="s">
        <v>41</v>
      </c>
      <c r="F118">
        <v>29.99</v>
      </c>
      <c r="G118">
        <v>29.99</v>
      </c>
    </row>
    <row r="119" spans="1:7" x14ac:dyDescent="0.3">
      <c r="A119" t="s">
        <v>18</v>
      </c>
      <c r="B119" t="s">
        <v>19</v>
      </c>
      <c r="C119">
        <v>4405</v>
      </c>
      <c r="D119" t="s">
        <v>42</v>
      </c>
      <c r="E119" t="s">
        <v>43</v>
      </c>
      <c r="F119">
        <v>14.99</v>
      </c>
      <c r="G119">
        <v>14.99</v>
      </c>
    </row>
    <row r="120" spans="1:7" x14ac:dyDescent="0.3">
      <c r="A120" t="s">
        <v>18</v>
      </c>
      <c r="B120" t="s">
        <v>19</v>
      </c>
      <c r="C120">
        <v>4405</v>
      </c>
      <c r="D120" t="s">
        <v>44</v>
      </c>
      <c r="E120" t="s">
        <v>45</v>
      </c>
      <c r="F120">
        <v>0</v>
      </c>
      <c r="G120">
        <v>0</v>
      </c>
    </row>
    <row r="121" spans="1:7" x14ac:dyDescent="0.3">
      <c r="A121" t="s">
        <v>18</v>
      </c>
      <c r="B121" t="s">
        <v>19</v>
      </c>
      <c r="C121">
        <v>4405</v>
      </c>
      <c r="D121" t="s">
        <v>46</v>
      </c>
      <c r="E121" t="s">
        <v>47</v>
      </c>
      <c r="F121">
        <v>0</v>
      </c>
      <c r="G121">
        <v>0</v>
      </c>
    </row>
    <row r="122" spans="1:7" x14ac:dyDescent="0.3">
      <c r="A122" t="s">
        <v>18</v>
      </c>
      <c r="B122" t="s">
        <v>19</v>
      </c>
      <c r="C122">
        <v>5293</v>
      </c>
      <c r="D122" t="s">
        <v>20</v>
      </c>
      <c r="E122" t="s">
        <v>21</v>
      </c>
      <c r="F122">
        <v>13.99</v>
      </c>
      <c r="G122">
        <v>13.99</v>
      </c>
    </row>
    <row r="123" spans="1:7" x14ac:dyDescent="0.3">
      <c r="A123" t="s">
        <v>18</v>
      </c>
      <c r="B123" t="s">
        <v>19</v>
      </c>
      <c r="C123">
        <v>5293</v>
      </c>
      <c r="D123" t="s">
        <v>22</v>
      </c>
      <c r="E123" t="s">
        <v>23</v>
      </c>
      <c r="F123">
        <v>4.99</v>
      </c>
      <c r="G123">
        <v>4.99</v>
      </c>
    </row>
    <row r="124" spans="1:7" x14ac:dyDescent="0.3">
      <c r="A124" t="s">
        <v>18</v>
      </c>
      <c r="B124" t="s">
        <v>19</v>
      </c>
      <c r="C124">
        <v>5293</v>
      </c>
      <c r="D124" t="s">
        <v>6</v>
      </c>
      <c r="E124" t="s">
        <v>7</v>
      </c>
      <c r="F124">
        <v>6.99</v>
      </c>
      <c r="G124">
        <v>6.99</v>
      </c>
    </row>
    <row r="125" spans="1:7" x14ac:dyDescent="0.3">
      <c r="A125" t="s">
        <v>18</v>
      </c>
      <c r="B125" t="s">
        <v>19</v>
      </c>
      <c r="C125">
        <v>5293</v>
      </c>
      <c r="D125" t="s">
        <v>24</v>
      </c>
      <c r="E125" t="s">
        <v>25</v>
      </c>
      <c r="F125">
        <v>9.99</v>
      </c>
      <c r="G125">
        <v>9.99</v>
      </c>
    </row>
    <row r="126" spans="1:7" x14ac:dyDescent="0.3">
      <c r="A126" t="s">
        <v>18</v>
      </c>
      <c r="B126" t="s">
        <v>19</v>
      </c>
      <c r="C126">
        <v>5293</v>
      </c>
      <c r="D126" t="s">
        <v>26</v>
      </c>
      <c r="E126" t="s">
        <v>27</v>
      </c>
      <c r="F126">
        <v>12.99</v>
      </c>
      <c r="G126">
        <v>12.99</v>
      </c>
    </row>
    <row r="127" spans="1:7" x14ac:dyDescent="0.3">
      <c r="A127" t="s">
        <v>18</v>
      </c>
      <c r="B127" t="s">
        <v>19</v>
      </c>
      <c r="C127">
        <v>5293</v>
      </c>
      <c r="D127" t="s">
        <v>28</v>
      </c>
      <c r="E127" t="s">
        <v>29</v>
      </c>
      <c r="F127">
        <v>15.99</v>
      </c>
      <c r="G127">
        <v>15.99</v>
      </c>
    </row>
    <row r="128" spans="1:7" x14ac:dyDescent="0.3">
      <c r="A128" t="s">
        <v>18</v>
      </c>
      <c r="B128" t="s">
        <v>19</v>
      </c>
      <c r="C128">
        <v>5293</v>
      </c>
      <c r="D128" t="s">
        <v>30</v>
      </c>
      <c r="E128" t="s">
        <v>31</v>
      </c>
      <c r="F128">
        <v>10</v>
      </c>
      <c r="G128">
        <v>10</v>
      </c>
    </row>
    <row r="129" spans="1:7" x14ac:dyDescent="0.3">
      <c r="A129" t="s">
        <v>18</v>
      </c>
      <c r="B129" t="s">
        <v>19</v>
      </c>
      <c r="C129">
        <v>5293</v>
      </c>
      <c r="D129" t="s">
        <v>32</v>
      </c>
      <c r="E129" t="s">
        <v>33</v>
      </c>
      <c r="F129">
        <v>15.99</v>
      </c>
      <c r="G129">
        <v>15.99</v>
      </c>
    </row>
    <row r="130" spans="1:7" x14ac:dyDescent="0.3">
      <c r="A130" t="s">
        <v>18</v>
      </c>
      <c r="B130" t="s">
        <v>19</v>
      </c>
      <c r="C130">
        <v>5293</v>
      </c>
      <c r="D130" t="s">
        <v>34</v>
      </c>
      <c r="E130" t="s">
        <v>35</v>
      </c>
      <c r="F130">
        <v>18.989999999999998</v>
      </c>
      <c r="G130">
        <v>18.989999999999998</v>
      </c>
    </row>
    <row r="131" spans="1:7" x14ac:dyDescent="0.3">
      <c r="A131" t="s">
        <v>18</v>
      </c>
      <c r="B131" t="s">
        <v>19</v>
      </c>
      <c r="C131">
        <v>5293</v>
      </c>
      <c r="D131" t="s">
        <v>36</v>
      </c>
      <c r="E131" t="s">
        <v>37</v>
      </c>
      <c r="F131">
        <v>25.99</v>
      </c>
      <c r="G131">
        <v>25.99</v>
      </c>
    </row>
    <row r="132" spans="1:7" x14ac:dyDescent="0.3">
      <c r="A132" t="s">
        <v>18</v>
      </c>
      <c r="B132" t="s">
        <v>19</v>
      </c>
      <c r="C132">
        <v>5293</v>
      </c>
      <c r="D132" t="s">
        <v>38</v>
      </c>
      <c r="E132" t="s">
        <v>39</v>
      </c>
      <c r="F132">
        <v>15.99</v>
      </c>
      <c r="G132">
        <v>15.99</v>
      </c>
    </row>
    <row r="133" spans="1:7" x14ac:dyDescent="0.3">
      <c r="A133" t="s">
        <v>18</v>
      </c>
      <c r="B133" t="s">
        <v>19</v>
      </c>
      <c r="C133">
        <v>5293</v>
      </c>
      <c r="D133" t="s">
        <v>40</v>
      </c>
      <c r="E133" t="s">
        <v>41</v>
      </c>
      <c r="F133">
        <v>29.99</v>
      </c>
      <c r="G133">
        <v>29.99</v>
      </c>
    </row>
    <row r="134" spans="1:7" x14ac:dyDescent="0.3">
      <c r="A134" t="s">
        <v>18</v>
      </c>
      <c r="B134" t="s">
        <v>19</v>
      </c>
      <c r="C134">
        <v>5293</v>
      </c>
      <c r="D134" t="s">
        <v>42</v>
      </c>
      <c r="E134" t="s">
        <v>43</v>
      </c>
      <c r="F134">
        <v>14.99</v>
      </c>
      <c r="G134">
        <v>14.99</v>
      </c>
    </row>
    <row r="135" spans="1:7" x14ac:dyDescent="0.3">
      <c r="A135" t="s">
        <v>18</v>
      </c>
      <c r="B135" t="s">
        <v>19</v>
      </c>
      <c r="C135">
        <v>5293</v>
      </c>
      <c r="D135" t="s">
        <v>44</v>
      </c>
      <c r="E135" t="s">
        <v>45</v>
      </c>
      <c r="F135">
        <v>0</v>
      </c>
      <c r="G135">
        <v>0</v>
      </c>
    </row>
    <row r="136" spans="1:7" x14ac:dyDescent="0.3">
      <c r="A136" t="s">
        <v>18</v>
      </c>
      <c r="B136" t="s">
        <v>19</v>
      </c>
      <c r="C136">
        <v>5293</v>
      </c>
      <c r="D136" t="s">
        <v>46</v>
      </c>
      <c r="E136" t="s">
        <v>47</v>
      </c>
      <c r="F136">
        <v>0</v>
      </c>
      <c r="G136">
        <v>0</v>
      </c>
    </row>
    <row r="137" spans="1:7" x14ac:dyDescent="0.3">
      <c r="A137" t="s">
        <v>18</v>
      </c>
      <c r="C137">
        <v>5296</v>
      </c>
      <c r="D137" t="s">
        <v>20</v>
      </c>
      <c r="E137" t="s">
        <v>21</v>
      </c>
      <c r="F137">
        <v>13.99</v>
      </c>
      <c r="G137">
        <v>13.99</v>
      </c>
    </row>
    <row r="138" spans="1:7" x14ac:dyDescent="0.3">
      <c r="A138" t="s">
        <v>18</v>
      </c>
      <c r="C138">
        <v>5296</v>
      </c>
      <c r="D138" t="s">
        <v>22</v>
      </c>
      <c r="E138" t="s">
        <v>23</v>
      </c>
      <c r="F138">
        <v>4.99</v>
      </c>
      <c r="G138">
        <v>4.99</v>
      </c>
    </row>
    <row r="139" spans="1:7" x14ac:dyDescent="0.3">
      <c r="A139" t="s">
        <v>18</v>
      </c>
      <c r="C139">
        <v>5296</v>
      </c>
      <c r="D139" t="s">
        <v>6</v>
      </c>
      <c r="E139" t="s">
        <v>7</v>
      </c>
      <c r="F139">
        <v>6.99</v>
      </c>
      <c r="G139">
        <v>6.99</v>
      </c>
    </row>
    <row r="140" spans="1:7" x14ac:dyDescent="0.3">
      <c r="A140" t="s">
        <v>18</v>
      </c>
      <c r="C140">
        <v>5296</v>
      </c>
      <c r="D140" t="s">
        <v>24</v>
      </c>
      <c r="E140" t="s">
        <v>25</v>
      </c>
      <c r="F140">
        <v>9.99</v>
      </c>
      <c r="G140">
        <v>9.99</v>
      </c>
    </row>
    <row r="141" spans="1:7" x14ac:dyDescent="0.3">
      <c r="A141" t="s">
        <v>18</v>
      </c>
      <c r="C141">
        <v>5296</v>
      </c>
      <c r="D141" t="s">
        <v>26</v>
      </c>
      <c r="E141" t="s">
        <v>27</v>
      </c>
      <c r="F141">
        <v>12.99</v>
      </c>
      <c r="G141">
        <v>12.99</v>
      </c>
    </row>
    <row r="142" spans="1:7" x14ac:dyDescent="0.3">
      <c r="A142" t="s">
        <v>18</v>
      </c>
      <c r="C142">
        <v>5296</v>
      </c>
      <c r="D142" t="s">
        <v>28</v>
      </c>
      <c r="E142" t="s">
        <v>29</v>
      </c>
      <c r="F142">
        <v>15.99</v>
      </c>
      <c r="G142">
        <v>15.99</v>
      </c>
    </row>
    <row r="143" spans="1:7" x14ac:dyDescent="0.3">
      <c r="A143" t="s">
        <v>18</v>
      </c>
      <c r="C143">
        <v>5296</v>
      </c>
      <c r="D143" t="s">
        <v>30</v>
      </c>
      <c r="E143" t="s">
        <v>31</v>
      </c>
      <c r="F143">
        <v>10</v>
      </c>
      <c r="G143">
        <v>10</v>
      </c>
    </row>
    <row r="144" spans="1:7" x14ac:dyDescent="0.3">
      <c r="A144" t="s">
        <v>18</v>
      </c>
      <c r="C144">
        <v>5296</v>
      </c>
      <c r="D144" t="s">
        <v>32</v>
      </c>
      <c r="E144" t="s">
        <v>33</v>
      </c>
      <c r="F144">
        <v>15.99</v>
      </c>
      <c r="G144">
        <v>15.99</v>
      </c>
    </row>
    <row r="145" spans="1:7" x14ac:dyDescent="0.3">
      <c r="A145" t="s">
        <v>18</v>
      </c>
      <c r="C145">
        <v>5296</v>
      </c>
      <c r="D145" t="s">
        <v>34</v>
      </c>
      <c r="E145" t="s">
        <v>35</v>
      </c>
      <c r="F145">
        <v>18.989999999999998</v>
      </c>
      <c r="G145">
        <v>18.989999999999998</v>
      </c>
    </row>
    <row r="146" spans="1:7" x14ac:dyDescent="0.3">
      <c r="A146" t="s">
        <v>18</v>
      </c>
      <c r="C146">
        <v>5296</v>
      </c>
      <c r="D146" t="s">
        <v>36</v>
      </c>
      <c r="E146" t="s">
        <v>37</v>
      </c>
      <c r="F146">
        <v>25.99</v>
      </c>
      <c r="G146">
        <v>25.99</v>
      </c>
    </row>
    <row r="147" spans="1:7" x14ac:dyDescent="0.3">
      <c r="A147" t="s">
        <v>18</v>
      </c>
      <c r="C147">
        <v>5296</v>
      </c>
      <c r="D147" t="s">
        <v>40</v>
      </c>
      <c r="E147" t="s">
        <v>41</v>
      </c>
      <c r="F147">
        <v>29.99</v>
      </c>
      <c r="G147">
        <v>29.99</v>
      </c>
    </row>
    <row r="148" spans="1:7" x14ac:dyDescent="0.3">
      <c r="A148" t="s">
        <v>18</v>
      </c>
      <c r="C148">
        <v>5296</v>
      </c>
      <c r="D148" t="s">
        <v>42</v>
      </c>
      <c r="E148" t="s">
        <v>43</v>
      </c>
      <c r="F148">
        <v>14.99</v>
      </c>
      <c r="G148">
        <v>14.99</v>
      </c>
    </row>
    <row r="149" spans="1:7" x14ac:dyDescent="0.3">
      <c r="A149" t="s">
        <v>18</v>
      </c>
      <c r="C149">
        <v>5296</v>
      </c>
      <c r="D149" t="s">
        <v>44</v>
      </c>
      <c r="E149" t="s">
        <v>45</v>
      </c>
      <c r="F149">
        <v>0</v>
      </c>
      <c r="G149">
        <v>0</v>
      </c>
    </row>
    <row r="150" spans="1:7" x14ac:dyDescent="0.3">
      <c r="A150" t="s">
        <v>18</v>
      </c>
      <c r="C150">
        <v>5296</v>
      </c>
      <c r="D150" t="s">
        <v>46</v>
      </c>
      <c r="E150" t="s">
        <v>47</v>
      </c>
      <c r="F150">
        <v>0</v>
      </c>
      <c r="G150">
        <v>0</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9443EC-1ACA-460F-B8C9-6E8DFA8FCC5B}">
  <dimension ref="A2:F217"/>
  <sheetViews>
    <sheetView tabSelected="1" workbookViewId="0">
      <selection activeCell="F5" sqref="F5"/>
    </sheetView>
  </sheetViews>
  <sheetFormatPr defaultRowHeight="14.4" x14ac:dyDescent="0.3"/>
  <cols>
    <col min="5" max="5" width="17.6640625" bestFit="1" customWidth="1"/>
  </cols>
  <sheetData>
    <row r="2" spans="1:6" x14ac:dyDescent="0.3">
      <c r="A2">
        <f>IF(Pivot!B1="(All)",0,1)</f>
        <v>0</v>
      </c>
      <c r="B2">
        <f>IF(Pivot!B2="(All)",0,2)</f>
        <v>0</v>
      </c>
      <c r="C2">
        <f>SUM(A2:B2)</f>
        <v>0</v>
      </c>
    </row>
    <row r="4" spans="1:6" x14ac:dyDescent="0.3">
      <c r="A4" cm="1">
        <f t="array" ref="A4:A13">_xlfn.UNIQUE(_xlfn.CHOOSECOLS(IF($C$2=0,Export[],IF($C$2=1,_xlfn._xlws.FILTER(Export[],Export[Source.Name]=Pivot!$B$1),IF(Reference!$C$2=2,_xlfn._xlws.FILTER(Export[],Export[[DO or Franchise Name  ]]=Pivot!$B$2),IF(Reference!C2=3,_xlfn._xlws.FILTER(Export[],(Export[Source.Name]=Pivot!$B$1)*(Export[[DO or Franchise Name  ]]=Pivot!$B$2)),"error")))),3))</f>
        <v>2208</v>
      </c>
      <c r="C4" cm="1">
        <f t="array" ref="C4:C217">_xlfn.VSTACK(Pivot!A7:A220)</f>
        <v>2208</v>
      </c>
      <c r="E4" t="s">
        <v>16</v>
      </c>
      <c r="F4" t="str">
        <f>_xlfn.TEXTJOIN(", ",TRUE,TRANSPOSE(_xlfn.VSTACK(Pivot!$A$7:$A$220)))</f>
        <v>2208, 2325, 2478, 2612, 2687, 2921, 3015, 4405, 5293</v>
      </c>
    </row>
    <row r="5" spans="1:6" x14ac:dyDescent="0.3">
      <c r="A5">
        <v>2325</v>
      </c>
      <c r="C5">
        <v>2325</v>
      </c>
      <c r="E5" t="s">
        <v>15</v>
      </c>
      <c r="F5" t="str" cm="1">
        <f t="array" ref="F5">IFERROR(_xlfn.TEXTJOIN(", ",TRUE,TRANSPOSE(_xlfn.UNIQUE(_xlfn.VSTACK(_xlfn.UNIQUE(_xlfn.CHOOSECOLS(IF($C$2=0,Export[],IF($C$2=1,_xlfn._xlws.FILTER(Export[],Export[Source.Name]=Pivot!$B$1),IF(Reference!$C$2=2,_xlfn._xlws.FILTER(Export[],Export[[DO or Franchise Name  ]]=Pivot!$B$2),IF(Reference!$C$2=3,_xlfn._xlws.FILTER(Export[],(Export[Source.Name]=Pivot!$B$1)*(Export[[DO or Franchise Name  ]]=Pivot!$B$2)),"error")))),3)),_xlfn.VSTACK(Pivot!$A$7:$A$220)),,TRUE))),"None")</f>
        <v>5296</v>
      </c>
    </row>
    <row r="6" spans="1:6" x14ac:dyDescent="0.3">
      <c r="A6">
        <v>2478</v>
      </c>
      <c r="C6">
        <v>2478</v>
      </c>
    </row>
    <row r="7" spans="1:6" x14ac:dyDescent="0.3">
      <c r="A7">
        <v>2612</v>
      </c>
      <c r="C7">
        <v>2612</v>
      </c>
    </row>
    <row r="8" spans="1:6" x14ac:dyDescent="0.3">
      <c r="A8">
        <v>2687</v>
      </c>
      <c r="C8">
        <v>2687</v>
      </c>
    </row>
    <row r="9" spans="1:6" x14ac:dyDescent="0.3">
      <c r="A9">
        <v>2921</v>
      </c>
      <c r="C9">
        <v>2921</v>
      </c>
    </row>
    <row r="10" spans="1:6" x14ac:dyDescent="0.3">
      <c r="A10">
        <v>3015</v>
      </c>
      <c r="C10">
        <v>3015</v>
      </c>
    </row>
    <row r="11" spans="1:6" x14ac:dyDescent="0.3">
      <c r="A11">
        <v>4405</v>
      </c>
      <c r="C11">
        <v>4405</v>
      </c>
    </row>
    <row r="12" spans="1:6" x14ac:dyDescent="0.3">
      <c r="A12">
        <v>5293</v>
      </c>
      <c r="C12">
        <v>5293</v>
      </c>
    </row>
    <row r="13" spans="1:6" x14ac:dyDescent="0.3">
      <c r="A13">
        <v>5296</v>
      </c>
      <c r="C13">
        <v>0</v>
      </c>
    </row>
    <row r="14" spans="1:6" x14ac:dyDescent="0.3">
      <c r="C14">
        <v>0</v>
      </c>
    </row>
    <row r="15" spans="1:6" x14ac:dyDescent="0.3">
      <c r="C15">
        <v>0</v>
      </c>
    </row>
    <row r="16" spans="1:6" x14ac:dyDescent="0.3">
      <c r="C16">
        <v>0</v>
      </c>
    </row>
    <row r="17" spans="3:3" x14ac:dyDescent="0.3">
      <c r="C17">
        <v>0</v>
      </c>
    </row>
    <row r="18" spans="3:3" x14ac:dyDescent="0.3">
      <c r="C18">
        <v>0</v>
      </c>
    </row>
    <row r="19" spans="3:3" x14ac:dyDescent="0.3">
      <c r="C19">
        <v>0</v>
      </c>
    </row>
    <row r="20" spans="3:3" x14ac:dyDescent="0.3">
      <c r="C20">
        <v>0</v>
      </c>
    </row>
    <row r="21" spans="3:3" x14ac:dyDescent="0.3">
      <c r="C21">
        <v>0</v>
      </c>
    </row>
    <row r="22" spans="3:3" x14ac:dyDescent="0.3">
      <c r="C22">
        <v>0</v>
      </c>
    </row>
    <row r="23" spans="3:3" x14ac:dyDescent="0.3">
      <c r="C23">
        <v>0</v>
      </c>
    </row>
    <row r="24" spans="3:3" x14ac:dyDescent="0.3">
      <c r="C24">
        <v>0</v>
      </c>
    </row>
    <row r="25" spans="3:3" x14ac:dyDescent="0.3">
      <c r="C25">
        <v>0</v>
      </c>
    </row>
    <row r="26" spans="3:3" x14ac:dyDescent="0.3">
      <c r="C26">
        <v>0</v>
      </c>
    </row>
    <row r="27" spans="3:3" x14ac:dyDescent="0.3">
      <c r="C27">
        <v>0</v>
      </c>
    </row>
    <row r="28" spans="3:3" x14ac:dyDescent="0.3">
      <c r="C28">
        <v>0</v>
      </c>
    </row>
    <row r="29" spans="3:3" x14ac:dyDescent="0.3">
      <c r="C29">
        <v>0</v>
      </c>
    </row>
    <row r="30" spans="3:3" x14ac:dyDescent="0.3">
      <c r="C30">
        <v>0</v>
      </c>
    </row>
    <row r="31" spans="3:3" x14ac:dyDescent="0.3">
      <c r="C31">
        <v>0</v>
      </c>
    </row>
    <row r="32" spans="3:3" x14ac:dyDescent="0.3">
      <c r="C32">
        <v>0</v>
      </c>
    </row>
    <row r="33" spans="3:3" x14ac:dyDescent="0.3">
      <c r="C33">
        <v>0</v>
      </c>
    </row>
    <row r="34" spans="3:3" x14ac:dyDescent="0.3">
      <c r="C34">
        <v>0</v>
      </c>
    </row>
    <row r="35" spans="3:3" x14ac:dyDescent="0.3">
      <c r="C35">
        <v>0</v>
      </c>
    </row>
    <row r="36" spans="3:3" x14ac:dyDescent="0.3">
      <c r="C36">
        <v>0</v>
      </c>
    </row>
    <row r="37" spans="3:3" x14ac:dyDescent="0.3">
      <c r="C37">
        <v>0</v>
      </c>
    </row>
    <row r="38" spans="3:3" x14ac:dyDescent="0.3">
      <c r="C38">
        <v>0</v>
      </c>
    </row>
    <row r="39" spans="3:3" x14ac:dyDescent="0.3">
      <c r="C39">
        <v>0</v>
      </c>
    </row>
    <row r="40" spans="3:3" x14ac:dyDescent="0.3">
      <c r="C40">
        <v>0</v>
      </c>
    </row>
    <row r="41" spans="3:3" x14ac:dyDescent="0.3">
      <c r="C41">
        <v>0</v>
      </c>
    </row>
    <row r="42" spans="3:3" x14ac:dyDescent="0.3">
      <c r="C42">
        <v>0</v>
      </c>
    </row>
    <row r="43" spans="3:3" x14ac:dyDescent="0.3">
      <c r="C43">
        <v>0</v>
      </c>
    </row>
    <row r="44" spans="3:3" x14ac:dyDescent="0.3">
      <c r="C44">
        <v>0</v>
      </c>
    </row>
    <row r="45" spans="3:3" x14ac:dyDescent="0.3">
      <c r="C45">
        <v>0</v>
      </c>
    </row>
    <row r="46" spans="3:3" x14ac:dyDescent="0.3">
      <c r="C46">
        <v>0</v>
      </c>
    </row>
    <row r="47" spans="3:3" x14ac:dyDescent="0.3">
      <c r="C47">
        <v>0</v>
      </c>
    </row>
    <row r="48" spans="3:3" x14ac:dyDescent="0.3">
      <c r="C48">
        <v>0</v>
      </c>
    </row>
    <row r="49" spans="3:3" x14ac:dyDescent="0.3">
      <c r="C49">
        <v>0</v>
      </c>
    </row>
    <row r="50" spans="3:3" x14ac:dyDescent="0.3">
      <c r="C50">
        <v>0</v>
      </c>
    </row>
    <row r="51" spans="3:3" x14ac:dyDescent="0.3">
      <c r="C51">
        <v>0</v>
      </c>
    </row>
    <row r="52" spans="3:3" x14ac:dyDescent="0.3">
      <c r="C52">
        <v>0</v>
      </c>
    </row>
    <row r="53" spans="3:3" x14ac:dyDescent="0.3">
      <c r="C53">
        <v>0</v>
      </c>
    </row>
    <row r="54" spans="3:3" x14ac:dyDescent="0.3">
      <c r="C54">
        <v>0</v>
      </c>
    </row>
    <row r="55" spans="3:3" x14ac:dyDescent="0.3">
      <c r="C55">
        <v>0</v>
      </c>
    </row>
    <row r="56" spans="3:3" x14ac:dyDescent="0.3">
      <c r="C56">
        <v>0</v>
      </c>
    </row>
    <row r="57" spans="3:3" x14ac:dyDescent="0.3">
      <c r="C57">
        <v>0</v>
      </c>
    </row>
    <row r="58" spans="3:3" x14ac:dyDescent="0.3">
      <c r="C58">
        <v>0</v>
      </c>
    </row>
    <row r="59" spans="3:3" x14ac:dyDescent="0.3">
      <c r="C59">
        <v>0</v>
      </c>
    </row>
    <row r="60" spans="3:3" x14ac:dyDescent="0.3">
      <c r="C60">
        <v>0</v>
      </c>
    </row>
    <row r="61" spans="3:3" x14ac:dyDescent="0.3">
      <c r="C61">
        <v>0</v>
      </c>
    </row>
    <row r="62" spans="3:3" x14ac:dyDescent="0.3">
      <c r="C62">
        <v>0</v>
      </c>
    </row>
    <row r="63" spans="3:3" x14ac:dyDescent="0.3">
      <c r="C63">
        <v>0</v>
      </c>
    </row>
    <row r="64" spans="3:3" x14ac:dyDescent="0.3">
      <c r="C64">
        <v>0</v>
      </c>
    </row>
    <row r="65" spans="3:3" x14ac:dyDescent="0.3">
      <c r="C65">
        <v>0</v>
      </c>
    </row>
    <row r="66" spans="3:3" x14ac:dyDescent="0.3">
      <c r="C66">
        <v>0</v>
      </c>
    </row>
    <row r="67" spans="3:3" x14ac:dyDescent="0.3">
      <c r="C67">
        <v>0</v>
      </c>
    </row>
    <row r="68" spans="3:3" x14ac:dyDescent="0.3">
      <c r="C68">
        <v>0</v>
      </c>
    </row>
    <row r="69" spans="3:3" x14ac:dyDescent="0.3">
      <c r="C69">
        <v>0</v>
      </c>
    </row>
    <row r="70" spans="3:3" x14ac:dyDescent="0.3">
      <c r="C70">
        <v>0</v>
      </c>
    </row>
    <row r="71" spans="3:3" x14ac:dyDescent="0.3">
      <c r="C71">
        <v>0</v>
      </c>
    </row>
    <row r="72" spans="3:3" x14ac:dyDescent="0.3">
      <c r="C72">
        <v>0</v>
      </c>
    </row>
    <row r="73" spans="3:3" x14ac:dyDescent="0.3">
      <c r="C73">
        <v>0</v>
      </c>
    </row>
    <row r="74" spans="3:3" x14ac:dyDescent="0.3">
      <c r="C74">
        <v>0</v>
      </c>
    </row>
    <row r="75" spans="3:3" x14ac:dyDescent="0.3">
      <c r="C75">
        <v>0</v>
      </c>
    </row>
    <row r="76" spans="3:3" x14ac:dyDescent="0.3">
      <c r="C76">
        <v>0</v>
      </c>
    </row>
    <row r="77" spans="3:3" x14ac:dyDescent="0.3">
      <c r="C77">
        <v>0</v>
      </c>
    </row>
    <row r="78" spans="3:3" x14ac:dyDescent="0.3">
      <c r="C78">
        <v>0</v>
      </c>
    </row>
    <row r="79" spans="3:3" x14ac:dyDescent="0.3">
      <c r="C79">
        <v>0</v>
      </c>
    </row>
    <row r="80" spans="3:3" x14ac:dyDescent="0.3">
      <c r="C80">
        <v>0</v>
      </c>
    </row>
    <row r="81" spans="3:3" x14ac:dyDescent="0.3">
      <c r="C81">
        <v>0</v>
      </c>
    </row>
    <row r="82" spans="3:3" x14ac:dyDescent="0.3">
      <c r="C82">
        <v>0</v>
      </c>
    </row>
    <row r="83" spans="3:3" x14ac:dyDescent="0.3">
      <c r="C83">
        <v>0</v>
      </c>
    </row>
    <row r="84" spans="3:3" x14ac:dyDescent="0.3">
      <c r="C84">
        <v>0</v>
      </c>
    </row>
    <row r="85" spans="3:3" x14ac:dyDescent="0.3">
      <c r="C85">
        <v>0</v>
      </c>
    </row>
    <row r="86" spans="3:3" x14ac:dyDescent="0.3">
      <c r="C86">
        <v>0</v>
      </c>
    </row>
    <row r="87" spans="3:3" x14ac:dyDescent="0.3">
      <c r="C87">
        <v>0</v>
      </c>
    </row>
    <row r="88" spans="3:3" x14ac:dyDescent="0.3">
      <c r="C88">
        <v>0</v>
      </c>
    </row>
    <row r="89" spans="3:3" x14ac:dyDescent="0.3">
      <c r="C89">
        <v>0</v>
      </c>
    </row>
    <row r="90" spans="3:3" x14ac:dyDescent="0.3">
      <c r="C90">
        <v>0</v>
      </c>
    </row>
    <row r="91" spans="3:3" x14ac:dyDescent="0.3">
      <c r="C91">
        <v>0</v>
      </c>
    </row>
    <row r="92" spans="3:3" x14ac:dyDescent="0.3">
      <c r="C92">
        <v>0</v>
      </c>
    </row>
    <row r="93" spans="3:3" x14ac:dyDescent="0.3">
      <c r="C93">
        <v>0</v>
      </c>
    </row>
    <row r="94" spans="3:3" x14ac:dyDescent="0.3">
      <c r="C94">
        <v>0</v>
      </c>
    </row>
    <row r="95" spans="3:3" x14ac:dyDescent="0.3">
      <c r="C95">
        <v>0</v>
      </c>
    </row>
    <row r="96" spans="3:3" x14ac:dyDescent="0.3">
      <c r="C96">
        <v>0</v>
      </c>
    </row>
    <row r="97" spans="3:3" x14ac:dyDescent="0.3">
      <c r="C97">
        <v>0</v>
      </c>
    </row>
    <row r="98" spans="3:3" x14ac:dyDescent="0.3">
      <c r="C98">
        <v>0</v>
      </c>
    </row>
    <row r="99" spans="3:3" x14ac:dyDescent="0.3">
      <c r="C99">
        <v>0</v>
      </c>
    </row>
    <row r="100" spans="3:3" x14ac:dyDescent="0.3">
      <c r="C100">
        <v>0</v>
      </c>
    </row>
    <row r="101" spans="3:3" x14ac:dyDescent="0.3">
      <c r="C101">
        <v>0</v>
      </c>
    </row>
    <row r="102" spans="3:3" x14ac:dyDescent="0.3">
      <c r="C102">
        <v>0</v>
      </c>
    </row>
    <row r="103" spans="3:3" x14ac:dyDescent="0.3">
      <c r="C103">
        <v>0</v>
      </c>
    </row>
    <row r="104" spans="3:3" x14ac:dyDescent="0.3">
      <c r="C104">
        <v>0</v>
      </c>
    </row>
    <row r="105" spans="3:3" x14ac:dyDescent="0.3">
      <c r="C105">
        <v>0</v>
      </c>
    </row>
    <row r="106" spans="3:3" x14ac:dyDescent="0.3">
      <c r="C106">
        <v>0</v>
      </c>
    </row>
    <row r="107" spans="3:3" x14ac:dyDescent="0.3">
      <c r="C107">
        <v>0</v>
      </c>
    </row>
    <row r="108" spans="3:3" x14ac:dyDescent="0.3">
      <c r="C108">
        <v>0</v>
      </c>
    </row>
    <row r="109" spans="3:3" x14ac:dyDescent="0.3">
      <c r="C109">
        <v>0</v>
      </c>
    </row>
    <row r="110" spans="3:3" x14ac:dyDescent="0.3">
      <c r="C110">
        <v>0</v>
      </c>
    </row>
    <row r="111" spans="3:3" x14ac:dyDescent="0.3">
      <c r="C111">
        <v>0</v>
      </c>
    </row>
    <row r="112" spans="3:3" x14ac:dyDescent="0.3">
      <c r="C112">
        <v>0</v>
      </c>
    </row>
    <row r="113" spans="3:3" x14ac:dyDescent="0.3">
      <c r="C113">
        <v>0</v>
      </c>
    </row>
    <row r="114" spans="3:3" x14ac:dyDescent="0.3">
      <c r="C114">
        <v>0</v>
      </c>
    </row>
    <row r="115" spans="3:3" x14ac:dyDescent="0.3">
      <c r="C115">
        <v>0</v>
      </c>
    </row>
    <row r="116" spans="3:3" x14ac:dyDescent="0.3">
      <c r="C116">
        <v>0</v>
      </c>
    </row>
    <row r="117" spans="3:3" x14ac:dyDescent="0.3">
      <c r="C117">
        <v>0</v>
      </c>
    </row>
    <row r="118" spans="3:3" x14ac:dyDescent="0.3">
      <c r="C118">
        <v>0</v>
      </c>
    </row>
    <row r="119" spans="3:3" x14ac:dyDescent="0.3">
      <c r="C119">
        <v>0</v>
      </c>
    </row>
    <row r="120" spans="3:3" x14ac:dyDescent="0.3">
      <c r="C120">
        <v>0</v>
      </c>
    </row>
    <row r="121" spans="3:3" x14ac:dyDescent="0.3">
      <c r="C121">
        <v>0</v>
      </c>
    </row>
    <row r="122" spans="3:3" x14ac:dyDescent="0.3">
      <c r="C122">
        <v>0</v>
      </c>
    </row>
    <row r="123" spans="3:3" x14ac:dyDescent="0.3">
      <c r="C123">
        <v>0</v>
      </c>
    </row>
    <row r="124" spans="3:3" x14ac:dyDescent="0.3">
      <c r="C124">
        <v>0</v>
      </c>
    </row>
    <row r="125" spans="3:3" x14ac:dyDescent="0.3">
      <c r="C125">
        <v>0</v>
      </c>
    </row>
    <row r="126" spans="3:3" x14ac:dyDescent="0.3">
      <c r="C126">
        <v>0</v>
      </c>
    </row>
    <row r="127" spans="3:3" x14ac:dyDescent="0.3">
      <c r="C127">
        <v>0</v>
      </c>
    </row>
    <row r="128" spans="3:3" x14ac:dyDescent="0.3">
      <c r="C128">
        <v>0</v>
      </c>
    </row>
    <row r="129" spans="3:3" x14ac:dyDescent="0.3">
      <c r="C129">
        <v>0</v>
      </c>
    </row>
    <row r="130" spans="3:3" x14ac:dyDescent="0.3">
      <c r="C130">
        <v>0</v>
      </c>
    </row>
    <row r="131" spans="3:3" x14ac:dyDescent="0.3">
      <c r="C131">
        <v>0</v>
      </c>
    </row>
    <row r="132" spans="3:3" x14ac:dyDescent="0.3">
      <c r="C132">
        <v>0</v>
      </c>
    </row>
    <row r="133" spans="3:3" x14ac:dyDescent="0.3">
      <c r="C133">
        <v>0</v>
      </c>
    </row>
    <row r="134" spans="3:3" x14ac:dyDescent="0.3">
      <c r="C134">
        <v>0</v>
      </c>
    </row>
    <row r="135" spans="3:3" x14ac:dyDescent="0.3">
      <c r="C135">
        <v>0</v>
      </c>
    </row>
    <row r="136" spans="3:3" x14ac:dyDescent="0.3">
      <c r="C136">
        <v>0</v>
      </c>
    </row>
    <row r="137" spans="3:3" x14ac:dyDescent="0.3">
      <c r="C137">
        <v>0</v>
      </c>
    </row>
    <row r="138" spans="3:3" x14ac:dyDescent="0.3">
      <c r="C138">
        <v>0</v>
      </c>
    </row>
    <row r="139" spans="3:3" x14ac:dyDescent="0.3">
      <c r="C139">
        <v>0</v>
      </c>
    </row>
    <row r="140" spans="3:3" x14ac:dyDescent="0.3">
      <c r="C140">
        <v>0</v>
      </c>
    </row>
    <row r="141" spans="3:3" x14ac:dyDescent="0.3">
      <c r="C141">
        <v>0</v>
      </c>
    </row>
    <row r="142" spans="3:3" x14ac:dyDescent="0.3">
      <c r="C142">
        <v>0</v>
      </c>
    </row>
    <row r="143" spans="3:3" x14ac:dyDescent="0.3">
      <c r="C143">
        <v>0</v>
      </c>
    </row>
    <row r="144" spans="3:3" x14ac:dyDescent="0.3">
      <c r="C144">
        <v>0</v>
      </c>
    </row>
    <row r="145" spans="3:3" x14ac:dyDescent="0.3">
      <c r="C145">
        <v>0</v>
      </c>
    </row>
    <row r="146" spans="3:3" x14ac:dyDescent="0.3">
      <c r="C146">
        <v>0</v>
      </c>
    </row>
    <row r="147" spans="3:3" x14ac:dyDescent="0.3">
      <c r="C147">
        <v>0</v>
      </c>
    </row>
    <row r="148" spans="3:3" x14ac:dyDescent="0.3">
      <c r="C148">
        <v>0</v>
      </c>
    </row>
    <row r="149" spans="3:3" x14ac:dyDescent="0.3">
      <c r="C149">
        <v>0</v>
      </c>
    </row>
    <row r="150" spans="3:3" x14ac:dyDescent="0.3">
      <c r="C150">
        <v>0</v>
      </c>
    </row>
    <row r="151" spans="3:3" x14ac:dyDescent="0.3">
      <c r="C151">
        <v>0</v>
      </c>
    </row>
    <row r="152" spans="3:3" x14ac:dyDescent="0.3">
      <c r="C152">
        <v>0</v>
      </c>
    </row>
    <row r="153" spans="3:3" x14ac:dyDescent="0.3">
      <c r="C153">
        <v>0</v>
      </c>
    </row>
    <row r="154" spans="3:3" x14ac:dyDescent="0.3">
      <c r="C154">
        <v>0</v>
      </c>
    </row>
    <row r="155" spans="3:3" x14ac:dyDescent="0.3">
      <c r="C155">
        <v>0</v>
      </c>
    </row>
    <row r="156" spans="3:3" x14ac:dyDescent="0.3">
      <c r="C156">
        <v>0</v>
      </c>
    </row>
    <row r="157" spans="3:3" x14ac:dyDescent="0.3">
      <c r="C157">
        <v>0</v>
      </c>
    </row>
    <row r="158" spans="3:3" x14ac:dyDescent="0.3">
      <c r="C158">
        <v>0</v>
      </c>
    </row>
    <row r="159" spans="3:3" x14ac:dyDescent="0.3">
      <c r="C159">
        <v>0</v>
      </c>
    </row>
    <row r="160" spans="3:3" x14ac:dyDescent="0.3">
      <c r="C160">
        <v>0</v>
      </c>
    </row>
    <row r="161" spans="3:3" x14ac:dyDescent="0.3">
      <c r="C161">
        <v>0</v>
      </c>
    </row>
    <row r="162" spans="3:3" x14ac:dyDescent="0.3">
      <c r="C162">
        <v>0</v>
      </c>
    </row>
    <row r="163" spans="3:3" x14ac:dyDescent="0.3">
      <c r="C163">
        <v>0</v>
      </c>
    </row>
    <row r="164" spans="3:3" x14ac:dyDescent="0.3">
      <c r="C164">
        <v>0</v>
      </c>
    </row>
    <row r="165" spans="3:3" x14ac:dyDescent="0.3">
      <c r="C165">
        <v>0</v>
      </c>
    </row>
    <row r="166" spans="3:3" x14ac:dyDescent="0.3">
      <c r="C166">
        <v>0</v>
      </c>
    </row>
    <row r="167" spans="3:3" x14ac:dyDescent="0.3">
      <c r="C167">
        <v>0</v>
      </c>
    </row>
    <row r="168" spans="3:3" x14ac:dyDescent="0.3">
      <c r="C168">
        <v>0</v>
      </c>
    </row>
    <row r="169" spans="3:3" x14ac:dyDescent="0.3">
      <c r="C169">
        <v>0</v>
      </c>
    </row>
    <row r="170" spans="3:3" x14ac:dyDescent="0.3">
      <c r="C170">
        <v>0</v>
      </c>
    </row>
    <row r="171" spans="3:3" x14ac:dyDescent="0.3">
      <c r="C171">
        <v>0</v>
      </c>
    </row>
    <row r="172" spans="3:3" x14ac:dyDescent="0.3">
      <c r="C172">
        <v>0</v>
      </c>
    </row>
    <row r="173" spans="3:3" x14ac:dyDescent="0.3">
      <c r="C173">
        <v>0</v>
      </c>
    </row>
    <row r="174" spans="3:3" x14ac:dyDescent="0.3">
      <c r="C174">
        <v>0</v>
      </c>
    </row>
    <row r="175" spans="3:3" x14ac:dyDescent="0.3">
      <c r="C175">
        <v>0</v>
      </c>
    </row>
    <row r="176" spans="3:3" x14ac:dyDescent="0.3">
      <c r="C176">
        <v>0</v>
      </c>
    </row>
    <row r="177" spans="3:3" x14ac:dyDescent="0.3">
      <c r="C177">
        <v>0</v>
      </c>
    </row>
    <row r="178" spans="3:3" x14ac:dyDescent="0.3">
      <c r="C178">
        <v>0</v>
      </c>
    </row>
    <row r="179" spans="3:3" x14ac:dyDescent="0.3">
      <c r="C179">
        <v>0</v>
      </c>
    </row>
    <row r="180" spans="3:3" x14ac:dyDescent="0.3">
      <c r="C180">
        <v>0</v>
      </c>
    </row>
    <row r="181" spans="3:3" x14ac:dyDescent="0.3">
      <c r="C181">
        <v>0</v>
      </c>
    </row>
    <row r="182" spans="3:3" x14ac:dyDescent="0.3">
      <c r="C182">
        <v>0</v>
      </c>
    </row>
    <row r="183" spans="3:3" x14ac:dyDescent="0.3">
      <c r="C183">
        <v>0</v>
      </c>
    </row>
    <row r="184" spans="3:3" x14ac:dyDescent="0.3">
      <c r="C184">
        <v>0</v>
      </c>
    </row>
    <row r="185" spans="3:3" x14ac:dyDescent="0.3">
      <c r="C185">
        <v>0</v>
      </c>
    </row>
    <row r="186" spans="3:3" x14ac:dyDescent="0.3">
      <c r="C186">
        <v>0</v>
      </c>
    </row>
    <row r="187" spans="3:3" x14ac:dyDescent="0.3">
      <c r="C187">
        <v>0</v>
      </c>
    </row>
    <row r="188" spans="3:3" x14ac:dyDescent="0.3">
      <c r="C188">
        <v>0</v>
      </c>
    </row>
    <row r="189" spans="3:3" x14ac:dyDescent="0.3">
      <c r="C189">
        <v>0</v>
      </c>
    </row>
    <row r="190" spans="3:3" x14ac:dyDescent="0.3">
      <c r="C190">
        <v>0</v>
      </c>
    </row>
    <row r="191" spans="3:3" x14ac:dyDescent="0.3">
      <c r="C191">
        <v>0</v>
      </c>
    </row>
    <row r="192" spans="3:3" x14ac:dyDescent="0.3">
      <c r="C192">
        <v>0</v>
      </c>
    </row>
    <row r="193" spans="3:3" x14ac:dyDescent="0.3">
      <c r="C193">
        <v>0</v>
      </c>
    </row>
    <row r="194" spans="3:3" x14ac:dyDescent="0.3">
      <c r="C194">
        <v>0</v>
      </c>
    </row>
    <row r="195" spans="3:3" x14ac:dyDescent="0.3">
      <c r="C195">
        <v>0</v>
      </c>
    </row>
    <row r="196" spans="3:3" x14ac:dyDescent="0.3">
      <c r="C196">
        <v>0</v>
      </c>
    </row>
    <row r="197" spans="3:3" x14ac:dyDescent="0.3">
      <c r="C197">
        <v>0</v>
      </c>
    </row>
    <row r="198" spans="3:3" x14ac:dyDescent="0.3">
      <c r="C198">
        <v>0</v>
      </c>
    </row>
    <row r="199" spans="3:3" x14ac:dyDescent="0.3">
      <c r="C199">
        <v>0</v>
      </c>
    </row>
    <row r="200" spans="3:3" x14ac:dyDescent="0.3">
      <c r="C200">
        <v>0</v>
      </c>
    </row>
    <row r="201" spans="3:3" x14ac:dyDescent="0.3">
      <c r="C201">
        <v>0</v>
      </c>
    </row>
    <row r="202" spans="3:3" x14ac:dyDescent="0.3">
      <c r="C202">
        <v>0</v>
      </c>
    </row>
    <row r="203" spans="3:3" x14ac:dyDescent="0.3">
      <c r="C203">
        <v>0</v>
      </c>
    </row>
    <row r="204" spans="3:3" x14ac:dyDescent="0.3">
      <c r="C204">
        <v>0</v>
      </c>
    </row>
    <row r="205" spans="3:3" x14ac:dyDescent="0.3">
      <c r="C205">
        <v>0</v>
      </c>
    </row>
    <row r="206" spans="3:3" x14ac:dyDescent="0.3">
      <c r="C206">
        <v>0</v>
      </c>
    </row>
    <row r="207" spans="3:3" x14ac:dyDescent="0.3">
      <c r="C207">
        <v>0</v>
      </c>
    </row>
    <row r="208" spans="3:3" x14ac:dyDescent="0.3">
      <c r="C208">
        <v>0</v>
      </c>
    </row>
    <row r="209" spans="3:3" x14ac:dyDescent="0.3">
      <c r="C209">
        <v>0</v>
      </c>
    </row>
    <row r="210" spans="3:3" x14ac:dyDescent="0.3">
      <c r="C210">
        <v>0</v>
      </c>
    </row>
    <row r="211" spans="3:3" x14ac:dyDescent="0.3">
      <c r="C211">
        <v>0</v>
      </c>
    </row>
    <row r="212" spans="3:3" x14ac:dyDescent="0.3">
      <c r="C212">
        <v>0</v>
      </c>
    </row>
    <row r="213" spans="3:3" x14ac:dyDescent="0.3">
      <c r="C213">
        <v>0</v>
      </c>
    </row>
    <row r="214" spans="3:3" x14ac:dyDescent="0.3">
      <c r="C214">
        <v>0</v>
      </c>
    </row>
    <row r="215" spans="3:3" x14ac:dyDescent="0.3">
      <c r="C215">
        <v>0</v>
      </c>
    </row>
    <row r="216" spans="3:3" x14ac:dyDescent="0.3">
      <c r="C216">
        <v>0</v>
      </c>
    </row>
    <row r="217" spans="3:3" x14ac:dyDescent="0.3">
      <c r="C217">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B21FC17-7F0A-4BB3-BB94-113EE8C2482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Pivot</vt:lpstr>
      <vt:lpstr>Export</vt:lpstr>
      <vt:lpstr>Reference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Brian Steele</dc:creator>
  <cp:lastModifiedBy>Brian Steele</cp:lastModifiedBy>
  <dcterms:created xsi:type="dcterms:W3CDTF">2023-11-16T20:16:50Z</dcterms:created>
  <dcterms:modified xsi:type="dcterms:W3CDTF">2024-03-20T21:00:10Z</dcterms:modified>
</cp:coreProperties>
</file>